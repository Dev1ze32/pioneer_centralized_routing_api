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20" windowHeight="11020" activeTab="1"/>
  </bookViews>
  <sheets>
    <sheet name="BM" sheetId="12" r:id="rId1"/>
    <sheet name="FG" sheetId="13" r:id="rId2"/>
    <sheet name="LineActivity" sheetId="11" state="hidden" r:id="rId3"/>
    <sheet name="Instructions" sheetId="14" r:id="rId4"/>
    <sheet name="Sheet1" sheetId="17" r:id="rId5"/>
  </sheets>
  <definedNames>
    <definedName name="Line01">LineActivity!#REF!</definedName>
    <definedName name="Line02">LineActivity!#REF!</definedName>
    <definedName name="Line03">LineActivity!#REF!</definedName>
    <definedName name="Line04A">LineActivity!#REF!</definedName>
    <definedName name="Line04B">LineActivity!#REF!</definedName>
    <definedName name="Line04C">LineActivity!#REF!</definedName>
    <definedName name="Line05">LineActivity!#REF!</definedName>
    <definedName name="Line06">LineActivity!#REF!</definedName>
    <definedName name="Line07">LineActivity!#REF!</definedName>
    <definedName name="Line08">LineActivity!#REF!</definedName>
    <definedName name="Line09">LineActivity!#REF!</definedName>
    <definedName name="Line09A">LineActivity!#REF!</definedName>
    <definedName name="Line10">LineActivity!#REF!</definedName>
    <definedName name="Line11">LineActivity!#REF!</definedName>
    <definedName name="Line12">LineActivity!#REF!</definedName>
    <definedName name="Line13">LineActivity!#REF!</definedName>
    <definedName name="Line14">LineActivity!#REF!</definedName>
    <definedName name="_xlnm.Print_Area" localSheetId="0">BM!$B$4:$O$39</definedName>
    <definedName name="_xlnm.Print_Area" localSheetId="1">FG!$B$4:$O$42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3" l="1"/>
  <c r="E21" i="13"/>
  <c r="E20" i="13"/>
  <c r="E18" i="13"/>
  <c r="E17" i="13"/>
  <c r="E16" i="13"/>
  <c r="F23" i="13"/>
  <c r="C5" i="12" l="1"/>
  <c r="C4" i="12"/>
  <c r="K26" i="13" l="1"/>
  <c r="I26" i="13"/>
  <c r="H26" i="13"/>
  <c r="F26" i="13"/>
  <c r="O26" i="13" s="1"/>
  <c r="K25" i="13"/>
  <c r="I25" i="13"/>
  <c r="H25" i="13"/>
  <c r="F25" i="13"/>
  <c r="O25" i="13" s="1"/>
  <c r="K24" i="13"/>
  <c r="I24" i="13"/>
  <c r="H24" i="13"/>
  <c r="F24" i="13"/>
  <c r="O24" i="13" s="1"/>
  <c r="K22" i="13"/>
  <c r="I22" i="13"/>
  <c r="H22" i="13"/>
  <c r="F22" i="13"/>
  <c r="N22" i="13" s="1"/>
  <c r="K21" i="13"/>
  <c r="I21" i="13"/>
  <c r="H21" i="13"/>
  <c r="F21" i="13"/>
  <c r="N21" i="13" s="1"/>
  <c r="K20" i="13"/>
  <c r="I20" i="13"/>
  <c r="H20" i="13"/>
  <c r="F20" i="13"/>
  <c r="O20" i="13" s="1"/>
  <c r="K19" i="13"/>
  <c r="I19" i="13"/>
  <c r="H19" i="13"/>
  <c r="F19" i="13"/>
  <c r="N19" i="13" s="1"/>
  <c r="K18" i="13"/>
  <c r="I18" i="13"/>
  <c r="H18" i="13"/>
  <c r="F18" i="13"/>
  <c r="O18" i="13" s="1"/>
  <c r="K17" i="13"/>
  <c r="I17" i="13"/>
  <c r="H17" i="13"/>
  <c r="F17" i="13"/>
  <c r="N17" i="13" s="1"/>
  <c r="K16" i="13"/>
  <c r="I16" i="13"/>
  <c r="H16" i="13"/>
  <c r="F16" i="13"/>
  <c r="N16" i="13" s="1"/>
  <c r="C11" i="13"/>
  <c r="F17" i="12"/>
  <c r="O17" i="12" s="1"/>
  <c r="H17" i="12"/>
  <c r="I17" i="12"/>
  <c r="K17" i="12"/>
  <c r="F18" i="12"/>
  <c r="L18" i="12" s="1"/>
  <c r="H18" i="12"/>
  <c r="I18" i="12"/>
  <c r="K18" i="12"/>
  <c r="F19" i="12"/>
  <c r="L19" i="12" s="1"/>
  <c r="H19" i="12"/>
  <c r="I19" i="12"/>
  <c r="K19" i="12"/>
  <c r="F20" i="12"/>
  <c r="M20" i="12" s="1"/>
  <c r="H20" i="12"/>
  <c r="I20" i="12"/>
  <c r="K20" i="12"/>
  <c r="F21" i="12"/>
  <c r="M21" i="12" s="1"/>
  <c r="H21" i="12"/>
  <c r="I21" i="12"/>
  <c r="K21" i="12"/>
  <c r="F22" i="12"/>
  <c r="L22" i="12" s="1"/>
  <c r="H22" i="12"/>
  <c r="I22" i="12"/>
  <c r="K22" i="12"/>
  <c r="F23" i="12"/>
  <c r="L23" i="12" s="1"/>
  <c r="H23" i="12"/>
  <c r="I23" i="12"/>
  <c r="K23" i="12"/>
  <c r="F24" i="12"/>
  <c r="L24" i="12" s="1"/>
  <c r="H24" i="12"/>
  <c r="I24" i="12"/>
  <c r="K24" i="12"/>
  <c r="F25" i="12"/>
  <c r="L25" i="12" s="1"/>
  <c r="H25" i="12"/>
  <c r="I25" i="12"/>
  <c r="K25" i="12"/>
  <c r="F16" i="12"/>
  <c r="M16" i="12" s="1"/>
  <c r="K16" i="12"/>
  <c r="I16" i="12"/>
  <c r="H16" i="12"/>
  <c r="C11" i="12"/>
  <c r="L21" i="12" l="1"/>
  <c r="L20" i="12"/>
  <c r="O23" i="12"/>
  <c r="O18" i="12"/>
  <c r="N23" i="12"/>
  <c r="N18" i="12"/>
  <c r="N17" i="12"/>
  <c r="M23" i="12"/>
  <c r="M18" i="12"/>
  <c r="M17" i="12"/>
  <c r="L17" i="12"/>
  <c r="O20" i="12"/>
  <c r="N20" i="12"/>
  <c r="O21" i="12"/>
  <c r="N21" i="12"/>
  <c r="H28" i="13"/>
  <c r="I28" i="13"/>
  <c r="O19" i="13"/>
  <c r="N20" i="13"/>
  <c r="L20" i="13"/>
  <c r="M20" i="13"/>
  <c r="L25" i="13"/>
  <c r="O17" i="13"/>
  <c r="M25" i="13"/>
  <c r="N25" i="13"/>
  <c r="O21" i="13"/>
  <c r="L26" i="13"/>
  <c r="M26" i="13"/>
  <c r="L19" i="13"/>
  <c r="N26" i="13"/>
  <c r="M19" i="13"/>
  <c r="O22" i="13"/>
  <c r="O16" i="13"/>
  <c r="L17" i="13"/>
  <c r="L22" i="13"/>
  <c r="M17" i="13"/>
  <c r="M22" i="13"/>
  <c r="L18" i="13"/>
  <c r="L24" i="13"/>
  <c r="M18" i="13"/>
  <c r="M24" i="13"/>
  <c r="F28" i="13"/>
  <c r="N18" i="13"/>
  <c r="N24" i="13"/>
  <c r="L16" i="13"/>
  <c r="L21" i="13"/>
  <c r="M16" i="13"/>
  <c r="M21" i="13"/>
  <c r="O22" i="12"/>
  <c r="N22" i="12"/>
  <c r="O25" i="12"/>
  <c r="N25" i="12"/>
  <c r="M25" i="12"/>
  <c r="M22" i="12"/>
  <c r="O19" i="12"/>
  <c r="O24" i="12"/>
  <c r="N24" i="12"/>
  <c r="N19" i="12"/>
  <c r="M24" i="12"/>
  <c r="M19" i="12"/>
  <c r="I27" i="12"/>
  <c r="N16" i="12"/>
  <c r="O16" i="12"/>
  <c r="F27" i="12"/>
  <c r="H27" i="12"/>
  <c r="L16" i="12"/>
  <c r="O28" i="13" l="1"/>
  <c r="L28" i="13"/>
  <c r="N28" i="13"/>
  <c r="O27" i="12"/>
  <c r="L27" i="12"/>
  <c r="N27" i="12"/>
</calcChain>
</file>

<file path=xl/comments1.xml><?xml version="1.0" encoding="utf-8"?>
<comments xmlns="http://schemas.openxmlformats.org/spreadsheetml/2006/main">
  <authors>
    <author>Henry S. Momblan</author>
  </authors>
  <commentList>
    <comment ref="E16" authorId="0">
      <text>
        <r>
          <rPr>
            <b/>
            <sz val="10"/>
            <color indexed="81"/>
            <rFont val="Tahoma"/>
            <family val="2"/>
          </rPr>
          <t>Henry S. Momblan:</t>
        </r>
        <r>
          <rPr>
            <sz val="10"/>
            <color indexed="81"/>
            <rFont val="Tahoma"/>
            <family val="2"/>
          </rPr>
          <t xml:space="preserve">
30 mins prep time + 11 min mixing time
</t>
        </r>
      </text>
    </comment>
  </commentList>
</comments>
</file>

<file path=xl/comments2.xml><?xml version="1.0" encoding="utf-8"?>
<comments xmlns="http://schemas.openxmlformats.org/spreadsheetml/2006/main">
  <authors>
    <author>Henry S. Momblan</author>
  </authors>
  <commentList>
    <comment ref="E19" authorId="0">
      <text>
        <r>
          <rPr>
            <b/>
            <sz val="10"/>
            <color indexed="81"/>
            <rFont val="Tahoma"/>
            <charset val="1"/>
          </rPr>
          <t>Henry S. Momblan:</t>
        </r>
        <r>
          <rPr>
            <sz val="10"/>
            <color indexed="81"/>
            <rFont val="Tahoma"/>
            <charset val="1"/>
          </rPr>
          <t xml:space="preserve">
BOX FORMING- 8 SEC +
Reboxing- 3 sec</t>
        </r>
      </text>
    </comment>
  </commentList>
</comments>
</file>

<file path=xl/sharedStrings.xml><?xml version="1.0" encoding="utf-8"?>
<sst xmlns="http://schemas.openxmlformats.org/spreadsheetml/2006/main" count="308" uniqueCount="134">
  <si>
    <t>Production Line</t>
  </si>
  <si>
    <t>Line Description</t>
  </si>
  <si>
    <t>Activities</t>
  </si>
  <si>
    <t>Pax</t>
  </si>
  <si>
    <t>Machine</t>
  </si>
  <si>
    <t>Time (min)</t>
  </si>
  <si>
    <t>Run Time</t>
  </si>
  <si>
    <t>ACTIVITIES</t>
  </si>
  <si>
    <t>VOH</t>
  </si>
  <si>
    <t>FOH</t>
  </si>
  <si>
    <t>MIXING</t>
  </si>
  <si>
    <t>UNIT</t>
  </si>
  <si>
    <t>TOTAL</t>
  </si>
  <si>
    <t>Production Manager</t>
  </si>
  <si>
    <t>MILLING</t>
  </si>
  <si>
    <t>LETDOWN</t>
  </si>
  <si>
    <t>FILLING</t>
  </si>
  <si>
    <t>PACKING/PALLETIZING</t>
  </si>
  <si>
    <t>STRUCTURAL INSULATED PANEL</t>
  </si>
  <si>
    <t>Line 08</t>
  </si>
  <si>
    <t>SIPS</t>
  </si>
  <si>
    <t>Line 01 COATINGS</t>
  </si>
  <si>
    <t>Line 02 CYANO BOTTLE FILLING</t>
  </si>
  <si>
    <t>Line 03 CYANO TUBE FILLING</t>
  </si>
  <si>
    <t>Line 04A ELASTO MIXING</t>
  </si>
  <si>
    <t>Line 04B SEMI AUTO FILLING</t>
  </si>
  <si>
    <t>Line 04C AUTO FILLING</t>
  </si>
  <si>
    <t>Line 05 EPOXY CLAY</t>
  </si>
  <si>
    <t>Line 06 EPOXY LINE</t>
  </si>
  <si>
    <t>Line 07 EPOXY TUBE FILLING</t>
  </si>
  <si>
    <t>Line 09 EPS - BLOCKS</t>
  </si>
  <si>
    <t>Line 09A EPS - CUTTING</t>
  </si>
  <si>
    <t>Line 10  CONTACT BOND</t>
  </si>
  <si>
    <t>Line 11 SILICONE FILLING LINE</t>
  </si>
  <si>
    <t>Line 12 SPECIAL PRODUCTS - EPOXY BASED</t>
  </si>
  <si>
    <t>Line 13 SPECIAL PRODUCTS - WATER BASED</t>
  </si>
  <si>
    <t>Line 14 SKIM COAT</t>
  </si>
  <si>
    <t>TINTING</t>
  </si>
  <si>
    <t>CUTTING</t>
  </si>
  <si>
    <t>MOLDING</t>
  </si>
  <si>
    <t>Line01</t>
  </si>
  <si>
    <t>Line02</t>
  </si>
  <si>
    <t>Line03</t>
  </si>
  <si>
    <t>Line04A</t>
  </si>
  <si>
    <t>Line04B</t>
  </si>
  <si>
    <t>Line04C</t>
  </si>
  <si>
    <t>Line05</t>
  </si>
  <si>
    <t>Line06</t>
  </si>
  <si>
    <t>Line07</t>
  </si>
  <si>
    <t>Line09</t>
  </si>
  <si>
    <t>Line09A</t>
  </si>
  <si>
    <t>Line10</t>
  </si>
  <si>
    <t>Line11</t>
  </si>
  <si>
    <t>Line12</t>
  </si>
  <si>
    <t>Line13</t>
  </si>
  <si>
    <t>Line14</t>
  </si>
  <si>
    <t>Line08</t>
  </si>
  <si>
    <t>Prepared By:</t>
  </si>
  <si>
    <t>Production AM/Sup</t>
  </si>
  <si>
    <t>Checked and Approved By:</t>
  </si>
  <si>
    <t>SKU Description</t>
  </si>
  <si>
    <t>MELTING</t>
  </si>
  <si>
    <t>STICKERING</t>
  </si>
  <si>
    <t>DL
(UNITS/1 MIN)</t>
  </si>
  <si>
    <t>ACUMATICA BOM</t>
  </si>
  <si>
    <t>DL</t>
  </si>
  <si>
    <t>BM</t>
  </si>
  <si>
    <t>FG</t>
  </si>
  <si>
    <t>CODING</t>
  </si>
  <si>
    <t xml:space="preserve">CODING </t>
  </si>
  <si>
    <t>LABELING</t>
  </si>
  <si>
    <t>BOX PREPARATION</t>
  </si>
  <si>
    <t>TRANSFER TO SUBCON</t>
  </si>
  <si>
    <t>TRANSFER BM TO ARO PUMP</t>
  </si>
  <si>
    <t>MANUAL TRANSFER BM TO FILLING TANK</t>
  </si>
  <si>
    <t>NOZZLE &amp; CAPPING</t>
  </si>
  <si>
    <t>SCOOPING</t>
  </si>
  <si>
    <t>CAP TIGHTENING</t>
  </si>
  <si>
    <t>CAPPING</t>
  </si>
  <si>
    <t>PLUNGERING</t>
  </si>
  <si>
    <t>TWIST TIE</t>
  </si>
  <si>
    <t>SEALING</t>
  </si>
  <si>
    <t>PRE HEAT OF BM</t>
  </si>
  <si>
    <t xml:space="preserve">FILLING </t>
  </si>
  <si>
    <t xml:space="preserve">TRANFER OF BM TO ARO PUMP </t>
  </si>
  <si>
    <t>BEADS PRE EXPANSION</t>
  </si>
  <si>
    <t>SIEVING</t>
  </si>
  <si>
    <t>MOLDING (BLOCK)</t>
  </si>
  <si>
    <t>CUTTING (LAMINATE)</t>
  </si>
  <si>
    <t xml:space="preserve">GLUING </t>
  </si>
  <si>
    <t>PANEL ASSEMBLY</t>
  </si>
  <si>
    <t>BLANK</t>
  </si>
  <si>
    <t>Total Labor min</t>
  </si>
  <si>
    <t>Total MC min</t>
  </si>
  <si>
    <t>NO.</t>
  </si>
  <si>
    <t xml:space="preserve">BM Qty per BATCH (Kg) </t>
  </si>
  <si>
    <t>FG Qty/Unit ( =1 )</t>
  </si>
  <si>
    <t>ITEM CODE</t>
  </si>
  <si>
    <t>PIONEER ADHESIVES INC.</t>
  </si>
  <si>
    <t>ROUTING TEMPLATE</t>
  </si>
  <si>
    <t>HOW TO USE THIS ROUTING TEMPLATE</t>
  </si>
  <si>
    <t>GENERAL INSTRUCTIONS:</t>
  </si>
  <si>
    <t>1. YELLOW CELLS ONLY</t>
  </si>
  <si>
    <t xml:space="preserve">   • Only fill in cells that are highlighted in YELLOW.</t>
  </si>
  <si>
    <t xml:space="preserve">   • Do NOT modify any other cells as they contain formulas and calculations.</t>
  </si>
  <si>
    <t>2. DROPDOWN INPUT SEQUENCE</t>
  </si>
  <si>
    <t xml:space="preserve">   • FIRST: Select the Production Line from the dropdown in cell C10.</t>
  </si>
  <si>
    <t xml:space="preserve">   • The Line Description will automatically populate based on your selection.</t>
  </si>
  <si>
    <t xml:space="preserve">   • Then proceed to fill in other required fields.</t>
  </si>
  <si>
    <t>3. INPUT FIELDS (Yellow Cells):</t>
  </si>
  <si>
    <t xml:space="preserve">   • Item Code (C4) - Enter the item code</t>
  </si>
  <si>
    <t xml:space="preserve">   • SKU Description (C5) - Enter the SKU description</t>
  </si>
  <si>
    <t xml:space="preserve">   • Production Line (C10) - SELECT FROM DROPDOWN FIRST</t>
  </si>
  <si>
    <t xml:space="preserve">   • Activities (B16:B25) - Enter activity names</t>
  </si>
  <si>
    <t xml:space="preserve">   • Machine (D16:D25) - Enter machine information</t>
  </si>
  <si>
    <t>4. IMPORTANT REMINDERS:</t>
  </si>
  <si>
    <t xml:space="preserve">   • Always select the Production Line FIRST before filling other fields.</t>
  </si>
  <si>
    <t xml:space="preserve">   • The template will auto-calculate Run Time, Total Labor, and Total MC.</t>
  </si>
  <si>
    <t xml:space="preserve">   • Review all entries before submitting for approval.</t>
  </si>
  <si>
    <t>5. APPROVAL SECTION:</t>
  </si>
  <si>
    <t xml:space="preserve">   • Prepared By: Production AM/Supervisor signs here</t>
  </si>
  <si>
    <t xml:space="preserve">   • Checked and Approved By: Production Manager signs here</t>
  </si>
  <si>
    <t>← Example of YELLOW cell</t>
  </si>
  <si>
    <t xml:space="preserve">   • BM Qty per BATCH (C7) - Enter quantity / for FG Qty per Unit is always 1</t>
  </si>
  <si>
    <t xml:space="preserve">   • Pax (C16:C25) - Enter number of Headcount</t>
  </si>
  <si>
    <t xml:space="preserve">   • Time in minutes (E16:E25) - Enter time duration (per BATCH QTY for BM)</t>
  </si>
  <si>
    <t xml:space="preserve">UNBOXING </t>
  </si>
  <si>
    <t>BATCH CODING</t>
  </si>
  <si>
    <t>REBOXING</t>
  </si>
  <si>
    <t>PLACING OF QR CODE ON THE BOXES</t>
  </si>
  <si>
    <t>PLACING OF CODED PAIL STICKER LABEL</t>
  </si>
  <si>
    <t>PUTTING TEMPORARY BOX LABEL (PRINTED STICKER LABEL)</t>
  </si>
  <si>
    <t>COMM_PIONEER WOODGLUE D3 4KG</t>
  </si>
  <si>
    <t>1WDG5A6601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</si>
</sst>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.00000_);_(* \(#,##0.00000\);_(* &quot;-&quot;??_);_(@_)"/>
    <numFmt numFmtId="165" formatCode="0.000"/>
    <numFmt numFmtId="166" formatCode="0.00000"/>
    <numFmt numFmtId="167" formatCode="0.0000"/>
    <numFmt numFmtId="168" formatCode="#,##0.00000;[Red]\-#,##0.00000"/>
  </numFmts>
  <fonts count="35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color rgb="FF7030A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theme="1"/>
      <name val="Times New Roman"/>
      <family val="2"/>
    </font>
    <font>
      <sz val="9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theme="1"/>
      <name val="Aptos Narrow"/>
      <family val="2"/>
    </font>
    <font>
      <sz val="10"/>
      <color theme="1"/>
      <name val="Aptos Narrow"/>
    </font>
    <font>
      <b/>
      <sz val="11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sz val="10"/>
      <color indexed="81"/>
      <name val="Tahoma"/>
      <charset val="1"/>
    </font>
    <font>
      <b/>
      <sz val="10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9900"/>
        <bgColor indexed="64"/>
      </patternFill>
    </fill>
    <fill>
      <patternFill patternType="solid">
        <fgColor rgb="FF00008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4" fillId="0" borderId="0"/>
    <xf numFmtId="0" fontId="5" fillId="0" borderId="0"/>
    <xf numFmtId="0" fontId="15" fillId="3" borderId="5" applyAlignment="0"/>
    <xf numFmtId="168" fontId="15" fillId="3" borderId="5"/>
    <xf numFmtId="0" fontId="5" fillId="0" borderId="0"/>
    <xf numFmtId="43" fontId="16" fillId="0" borderId="0" applyFont="0" applyFill="0" applyBorder="0" applyAlignment="0" applyProtection="0"/>
    <xf numFmtId="0" fontId="18" fillId="0" borderId="0"/>
    <xf numFmtId="0" fontId="1" fillId="0" borderId="0"/>
    <xf numFmtId="0" fontId="20" fillId="5" borderId="1" applyAlignment="0"/>
    <xf numFmtId="0" fontId="2" fillId="0" borderId="0"/>
  </cellStyleXfs>
  <cellXfs count="91">
    <xf numFmtId="0" fontId="0" fillId="0" borderId="0" xfId="0"/>
    <xf numFmtId="0" fontId="7" fillId="4" borderId="7" xfId="10" applyFont="1" applyFill="1" applyBorder="1" applyAlignment="1">
      <alignment horizontal="left" vertical="center"/>
    </xf>
    <xf numFmtId="0" fontId="19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2" fillId="0" borderId="0" xfId="1" applyAlignment="1">
      <alignment horizontal="center" vertical="center"/>
    </xf>
    <xf numFmtId="0" fontId="4" fillId="0" borderId="0" xfId="1" quotePrefix="1" applyFont="1" applyAlignment="1">
      <alignment horizontal="center" vertical="center"/>
    </xf>
    <xf numFmtId="0" fontId="2" fillId="0" borderId="0" xfId="1" applyAlignment="1">
      <alignment vertical="center"/>
    </xf>
    <xf numFmtId="0" fontId="2" fillId="2" borderId="0" xfId="1" applyFill="1" applyAlignment="1">
      <alignment vertical="center"/>
    </xf>
    <xf numFmtId="43" fontId="0" fillId="0" borderId="0" xfId="2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3" applyNumberFormat="1" applyFont="1" applyAlignment="1">
      <alignment vertical="center"/>
    </xf>
    <xf numFmtId="43" fontId="0" fillId="0" borderId="0" xfId="2" applyFont="1" applyAlignment="1">
      <alignment vertical="center"/>
    </xf>
    <xf numFmtId="43" fontId="7" fillId="0" borderId="0" xfId="2" applyFont="1" applyFill="1" applyBorder="1" applyAlignment="1">
      <alignment horizontal="center" vertical="center" wrapText="1"/>
    </xf>
    <xf numFmtId="43" fontId="3" fillId="0" borderId="0" xfId="2" applyFont="1" applyFill="1" applyBorder="1" applyAlignment="1">
      <alignment horizontal="center" vertical="center"/>
    </xf>
    <xf numFmtId="43" fontId="0" fillId="0" borderId="0" xfId="2" applyFont="1" applyBorder="1" applyAlignment="1">
      <alignment vertical="center"/>
    </xf>
    <xf numFmtId="0" fontId="3" fillId="0" borderId="0" xfId="1" applyFont="1" applyAlignment="1">
      <alignment vertical="center"/>
    </xf>
    <xf numFmtId="43" fontId="12" fillId="0" borderId="0" xfId="2" applyFont="1" applyFill="1" applyAlignment="1">
      <alignment horizontal="center" vertical="center"/>
    </xf>
    <xf numFmtId="0" fontId="13" fillId="0" borderId="0" xfId="1" applyFont="1" applyAlignment="1">
      <alignment vertical="center"/>
    </xf>
    <xf numFmtId="43" fontId="13" fillId="0" borderId="0" xfId="2" applyFont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0" fillId="0" borderId="0" xfId="1" applyFont="1" applyAlignment="1">
      <alignment vertical="center"/>
    </xf>
    <xf numFmtId="0" fontId="3" fillId="6" borderId="1" xfId="1" applyFont="1" applyFill="1" applyBorder="1" applyAlignment="1">
      <alignment horizontal="left" vertical="center"/>
    </xf>
    <xf numFmtId="0" fontId="9" fillId="7" borderId="1" xfId="1" applyFont="1" applyFill="1" applyBorder="1" applyAlignment="1">
      <alignment horizontal="center" vertical="center"/>
    </xf>
    <xf numFmtId="43" fontId="9" fillId="7" borderId="1" xfId="2" applyFont="1" applyFill="1" applyBorder="1" applyAlignment="1">
      <alignment horizontal="center" vertical="center"/>
    </xf>
    <xf numFmtId="43" fontId="10" fillId="7" borderId="1" xfId="2" applyFont="1" applyFill="1" applyBorder="1" applyAlignment="1">
      <alignment horizontal="center" vertical="center"/>
    </xf>
    <xf numFmtId="164" fontId="21" fillId="7" borderId="1" xfId="3" applyNumberFormat="1" applyFont="1" applyFill="1" applyBorder="1" applyAlignment="1">
      <alignment horizontal="center" vertical="center" wrapText="1"/>
    </xf>
    <xf numFmtId="164" fontId="10" fillId="7" borderId="1" xfId="3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164" fontId="25" fillId="0" borderId="0" xfId="3" applyNumberFormat="1" applyFont="1" applyAlignment="1">
      <alignment vertical="center"/>
    </xf>
    <xf numFmtId="164" fontId="24" fillId="8" borderId="1" xfId="3" applyNumberFormat="1" applyFont="1" applyFill="1" applyBorder="1" applyAlignment="1">
      <alignment vertical="center"/>
    </xf>
    <xf numFmtId="0" fontId="22" fillId="8" borderId="1" xfId="1" applyFont="1" applyFill="1" applyBorder="1" applyAlignment="1">
      <alignment horizontal="left" vertical="center"/>
    </xf>
    <xf numFmtId="0" fontId="23" fillId="8" borderId="1" xfId="1" applyFont="1" applyFill="1" applyBorder="1" applyAlignment="1">
      <alignment horizontal="center" vertical="center"/>
    </xf>
    <xf numFmtId="43" fontId="24" fillId="8" borderId="1" xfId="2" applyFont="1" applyFill="1" applyBorder="1" applyAlignment="1">
      <alignment vertical="center"/>
    </xf>
    <xf numFmtId="43" fontId="24" fillId="8" borderId="1" xfId="2" applyFont="1" applyFill="1" applyBorder="1" applyAlignment="1">
      <alignment horizontal="center" vertical="center"/>
    </xf>
    <xf numFmtId="164" fontId="10" fillId="7" borderId="1" xfId="3" applyNumberFormat="1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0" fontId="27" fillId="0" borderId="11" xfId="0" applyFont="1" applyBorder="1" applyAlignment="1">
      <alignment vertical="center"/>
    </xf>
    <xf numFmtId="0" fontId="27" fillId="0" borderId="12" xfId="0" applyFont="1" applyBorder="1" applyAlignment="1">
      <alignment horizontal="left" vertical="center"/>
    </xf>
    <xf numFmtId="0" fontId="27" fillId="0" borderId="13" xfId="0" applyFont="1" applyBorder="1" applyAlignment="1">
      <alignment vertical="center"/>
    </xf>
    <xf numFmtId="0" fontId="0" fillId="9" borderId="11" xfId="0" applyFill="1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14" xfId="0" applyFont="1" applyBorder="1" applyAlignment="1">
      <alignment vertical="center"/>
    </xf>
    <xf numFmtId="0" fontId="0" fillId="9" borderId="15" xfId="0" applyFill="1" applyBorder="1" applyAlignment="1">
      <alignment vertical="center"/>
    </xf>
    <xf numFmtId="0" fontId="27" fillId="0" borderId="16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7" fillId="0" borderId="20" xfId="0" applyFont="1" applyBorder="1" applyAlignment="1">
      <alignment horizontal="left" vertical="center"/>
    </xf>
    <xf numFmtId="166" fontId="2" fillId="10" borderId="1" xfId="1" applyNumberFormat="1" applyFill="1" applyBorder="1" applyAlignment="1">
      <alignment horizontal="center" vertical="center"/>
    </xf>
    <xf numFmtId="167" fontId="2" fillId="10" borderId="1" xfId="1" applyNumberFormat="1" applyFill="1" applyBorder="1" applyAlignment="1">
      <alignment horizontal="center" vertical="center"/>
    </xf>
    <xf numFmtId="43" fontId="0" fillId="10" borderId="1" xfId="2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vertical="center"/>
    </xf>
    <xf numFmtId="164" fontId="25" fillId="10" borderId="1" xfId="3" applyNumberFormat="1" applyFont="1" applyFill="1" applyBorder="1" applyAlignment="1">
      <alignment vertical="center"/>
    </xf>
    <xf numFmtId="0" fontId="28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11" fillId="11" borderId="1" xfId="0" applyFont="1" applyFill="1" applyBorder="1" applyAlignment="1">
      <alignment horizontal="center" vertical="center"/>
    </xf>
    <xf numFmtId="165" fontId="11" fillId="11" borderId="1" xfId="0" applyNumberFormat="1" applyFont="1" applyFill="1" applyBorder="1" applyAlignment="1">
      <alignment horizontal="center" vertical="center"/>
    </xf>
    <xf numFmtId="0" fontId="3" fillId="10" borderId="8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7" xfId="1" applyFont="1" applyFill="1" applyBorder="1" applyAlignment="1">
      <alignment horizontal="center" vertical="center"/>
    </xf>
    <xf numFmtId="0" fontId="3" fillId="0" borderId="0" xfId="0" applyFont="1"/>
    <xf numFmtId="0" fontId="29" fillId="0" borderId="0" xfId="0" applyFont="1"/>
    <xf numFmtId="0" fontId="0" fillId="11" borderId="0" xfId="0" applyFill="1"/>
    <xf numFmtId="0" fontId="0" fillId="12" borderId="0" xfId="0" applyFill="1"/>
    <xf numFmtId="0" fontId="6" fillId="11" borderId="9" xfId="1" applyFont="1" applyFill="1" applyBorder="1" applyAlignment="1">
      <alignment horizontal="center" vertical="center"/>
    </xf>
    <xf numFmtId="0" fontId="6" fillId="11" borderId="10" xfId="1" applyFont="1" applyFill="1" applyBorder="1" applyAlignment="1">
      <alignment horizontal="center" vertical="center"/>
    </xf>
    <xf numFmtId="43" fontId="2" fillId="11" borderId="3" xfId="1" applyNumberFormat="1" applyFill="1" applyBorder="1" applyAlignment="1">
      <alignment horizontal="center" vertical="center"/>
    </xf>
    <xf numFmtId="43" fontId="2" fillId="11" borderId="4" xfId="1" applyNumberFormat="1" applyFill="1" applyBorder="1" applyAlignment="1">
      <alignment horizontal="center" vertical="center"/>
    </xf>
    <xf numFmtId="2" fontId="0" fillId="11" borderId="18" xfId="0" applyNumberFormat="1" applyFill="1" applyBorder="1" applyAlignment="1">
      <alignment horizontal="center" vertical="center"/>
    </xf>
    <xf numFmtId="2" fontId="0" fillId="11" borderId="19" xfId="0" applyNumberFormat="1" applyFill="1" applyBorder="1" applyAlignment="1">
      <alignment horizontal="center" vertical="center"/>
    </xf>
    <xf numFmtId="0" fontId="13" fillId="0" borderId="0" xfId="1" applyFont="1" applyAlignment="1">
      <alignment horizontal="left" vertical="center"/>
    </xf>
    <xf numFmtId="1" fontId="8" fillId="11" borderId="21" xfId="1" applyNumberFormat="1" applyFont="1" applyFill="1" applyBorder="1" applyAlignment="1">
      <alignment horizontal="center" vertical="center"/>
    </xf>
    <xf numFmtId="1" fontId="8" fillId="11" borderId="22" xfId="1" applyNumberFormat="1" applyFont="1" applyFill="1" applyBorder="1" applyAlignment="1">
      <alignment horizontal="center" vertical="center"/>
    </xf>
    <xf numFmtId="1" fontId="8" fillId="11" borderId="23" xfId="1" applyNumberFormat="1" applyFont="1" applyFill="1" applyBorder="1" applyAlignment="1">
      <alignment horizontal="center" vertical="center"/>
    </xf>
    <xf numFmtId="0" fontId="2" fillId="7" borderId="3" xfId="1" applyFill="1" applyBorder="1" applyAlignment="1">
      <alignment horizontal="center" vertical="center"/>
    </xf>
    <xf numFmtId="0" fontId="2" fillId="7" borderId="4" xfId="1" applyFill="1" applyBorder="1" applyAlignment="1">
      <alignment horizontal="center" vertical="center"/>
    </xf>
    <xf numFmtId="164" fontId="22" fillId="8" borderId="1" xfId="3" applyNumberFormat="1" applyFont="1" applyFill="1" applyBorder="1" applyAlignment="1">
      <alignment horizontal="center" vertical="center"/>
    </xf>
    <xf numFmtId="0" fontId="9" fillId="7" borderId="1" xfId="1" applyFont="1" applyFill="1" applyBorder="1" applyAlignment="1">
      <alignment horizontal="center" vertical="center"/>
    </xf>
    <xf numFmtId="0" fontId="32" fillId="0" borderId="0" xfId="1" applyFont="1" applyAlignment="1">
      <alignment vertical="center"/>
    </xf>
    <xf numFmtId="0" fontId="13" fillId="0" borderId="15" xfId="1" applyFont="1" applyBorder="1" applyAlignment="1">
      <alignment vertical="center"/>
    </xf>
    <xf numFmtId="0" fontId="3" fillId="6" borderId="1" xfId="1" applyFont="1" applyFill="1" applyBorder="1" applyAlignment="1">
      <alignment vertical="center"/>
    </xf>
    <xf numFmtId="0" fontId="3" fillId="6" borderId="1" xfId="1" applyFont="1" applyFill="1" applyBorder="1" applyAlignment="1">
      <alignment vertical="center" wrapText="1"/>
    </xf>
    <xf numFmtId="43" fontId="0" fillId="11" borderId="3" xfId="1" applyNumberFormat="1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vertical="center" wrapText="1"/>
    </xf>
  </cellXfs>
  <cellStyles count="14">
    <cellStyle name="Comma 10" xfId="3"/>
    <cellStyle name="Comma 2" xfId="9"/>
    <cellStyle name="Comma 33" xfId="2"/>
    <cellStyle name="Normal" xfId="0" builtinId="0"/>
    <cellStyle name="Normal 2" xfId="4"/>
    <cellStyle name="Normal 2 2" xfId="8"/>
    <cellStyle name="Normal 23 2" xfId="13"/>
    <cellStyle name="Normal 3" xfId="5"/>
    <cellStyle name="Normal 4" xfId="11"/>
    <cellStyle name="Normal 82" xfId="1"/>
    <cellStyle name="Normal 9" xfId="10"/>
    <cellStyle name="Style 1" xfId="6"/>
    <cellStyle name="Style 2" xfId="12"/>
    <cellStyle name="Style 6" xfId="7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22:S38" totalsRowShown="0" headerRowDxfId="20" tableBorderDxfId="19">
  <autoFilter ref="A22:S38"/>
  <tableColumns count="19">
    <tableColumn id="1" name="NO." dataDxfId="18"/>
    <tableColumn id="2" name="Line01" dataDxfId="17"/>
    <tableColumn id="3" name="Line02" dataDxfId="16"/>
    <tableColumn id="4" name="Line03" dataDxfId="15"/>
    <tableColumn id="5" name="Line04A" dataDxfId="14"/>
    <tableColumn id="6" name="Line04B" dataDxfId="13"/>
    <tableColumn id="7" name="Line04C" dataDxfId="12"/>
    <tableColumn id="8" name="Line05" dataDxfId="11"/>
    <tableColumn id="9" name="Line06" dataDxfId="10"/>
    <tableColumn id="10" name="Line07" dataDxfId="9"/>
    <tableColumn id="11" name="Line08" dataDxfId="8"/>
    <tableColumn id="12" name="Line09" dataDxfId="7"/>
    <tableColumn id="13" name="Line09A" dataDxfId="6"/>
    <tableColumn id="14" name="Line10" dataDxfId="5"/>
    <tableColumn id="15" name="Line11" dataDxfId="4"/>
    <tableColumn id="16" name="Line12" dataDxfId="3"/>
    <tableColumn id="17" name="Line13" dataDxfId="2"/>
    <tableColumn id="18" name="Line14" dataDxfId="1"/>
    <tableColumn id="19" name="SIP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A1:W58"/>
  <sheetViews>
    <sheetView showGridLines="0" zoomScale="80" zoomScaleNormal="80" workbookViewId="0">
      <pane ySplit="14" topLeftCell="A15" activePane="bottomLeft" state="frozen"/>
      <selection pane="bottomLeft" activeCell="B16" sqref="B16:E16"/>
    </sheetView>
  </sheetViews>
  <sheetFormatPr defaultColWidth="0" defaultRowHeight="14.5"/>
  <cols>
    <col min="1" max="1" width="0.81640625" style="7" customWidth="1"/>
    <col min="2" max="2" width="32.7265625" style="5" customWidth="1"/>
    <col min="3" max="5" width="13.7265625" style="5" customWidth="1"/>
    <col min="6" max="6" width="14.54296875" style="8" bestFit="1" customWidth="1"/>
    <col min="7" max="7" width="6.7265625" style="8" customWidth="1"/>
    <col min="8" max="8" width="16.7265625" style="9" customWidth="1"/>
    <col min="9" max="9" width="14.7265625" style="9" customWidth="1"/>
    <col min="10" max="10" width="0.7265625" style="9" customWidth="1"/>
    <col min="11" max="11" width="21.26953125" style="10" bestFit="1" customWidth="1"/>
    <col min="12" max="15" width="12.7265625" style="11" customWidth="1"/>
    <col min="16" max="16" width="3.26953125" style="10" customWidth="1"/>
    <col min="17" max="17" width="9.26953125" style="10" hidden="1" customWidth="1"/>
    <col min="18" max="18" width="9.26953125" style="7" hidden="1" customWidth="1"/>
    <col min="19" max="19" width="12.26953125" style="7" hidden="1" customWidth="1"/>
    <col min="20" max="20" width="11.7265625" style="7" hidden="1" customWidth="1"/>
    <col min="21" max="21" width="12.26953125" style="7" hidden="1" customWidth="1"/>
    <col min="22" max="23" width="11.7265625" style="7" hidden="1" customWidth="1"/>
    <col min="24" max="16384" width="9.26953125" style="7" hidden="1"/>
  </cols>
  <sheetData>
    <row r="1" spans="1:23">
      <c r="B1" s="60" t="s">
        <v>98</v>
      </c>
    </row>
    <row r="2" spans="1:23">
      <c r="B2" s="61" t="s">
        <v>99</v>
      </c>
    </row>
    <row r="3" spans="1:23" s="10" customFormat="1" ht="12.75" customHeight="1" thickBot="1">
      <c r="A3" s="7"/>
      <c r="B3" s="5"/>
      <c r="C3" s="6"/>
      <c r="D3" s="5"/>
      <c r="E3" s="5"/>
      <c r="F3" s="8"/>
      <c r="G3" s="8"/>
      <c r="H3" s="9"/>
      <c r="I3" s="9"/>
      <c r="J3" s="9"/>
      <c r="L3" s="11"/>
      <c r="M3" s="11"/>
      <c r="N3" s="11"/>
      <c r="O3" s="11"/>
      <c r="R3" s="7"/>
      <c r="S3" s="7"/>
      <c r="T3" s="7"/>
      <c r="U3" s="7"/>
      <c r="V3" s="7"/>
      <c r="W3" s="7"/>
    </row>
    <row r="4" spans="1:23" s="10" customFormat="1" ht="24" customHeight="1">
      <c r="A4" s="7"/>
      <c r="B4" s="64" t="s">
        <v>97</v>
      </c>
      <c r="C4" s="71" t="e">
        <f>#REF!</f>
        <v>#REF!</v>
      </c>
      <c r="D4" s="71"/>
      <c r="E4" s="72"/>
      <c r="F4" s="12"/>
      <c r="G4" s="12"/>
      <c r="H4" s="13"/>
      <c r="I4" s="14"/>
      <c r="J4" s="9"/>
      <c r="L4" s="11"/>
      <c r="M4" s="11"/>
      <c r="N4" s="11"/>
      <c r="O4" s="11"/>
      <c r="R4" s="7"/>
      <c r="S4" s="7"/>
      <c r="T4" s="7"/>
      <c r="U4" s="7"/>
      <c r="V4" s="7"/>
      <c r="W4" s="7"/>
    </row>
    <row r="5" spans="1:23" s="10" customFormat="1" ht="24" customHeight="1" thickBot="1">
      <c r="A5" s="7"/>
      <c r="B5" s="65" t="s">
        <v>60</v>
      </c>
      <c r="C5" s="73" t="e">
        <f>#REF!</f>
        <v>#REF!</v>
      </c>
      <c r="D5" s="73"/>
      <c r="E5" s="74"/>
      <c r="F5" s="12"/>
      <c r="G5" s="12"/>
      <c r="H5" s="5"/>
      <c r="I5" s="5"/>
      <c r="J5" s="9"/>
      <c r="L5" s="11"/>
      <c r="M5" s="11"/>
      <c r="N5" s="11"/>
      <c r="O5" s="11"/>
      <c r="R5" s="7"/>
      <c r="S5" s="7"/>
      <c r="T5" s="7"/>
      <c r="U5" s="7"/>
      <c r="V5" s="7"/>
      <c r="W5" s="7"/>
    </row>
    <row r="6" spans="1:23" s="10" customFormat="1" ht="4.9000000000000004" customHeight="1" thickBot="1">
      <c r="A6" s="7"/>
      <c r="B6" s="7"/>
      <c r="C6" s="5"/>
      <c r="D6" s="5"/>
      <c r="E6" s="5"/>
      <c r="F6" s="12"/>
      <c r="G6" s="12"/>
      <c r="H6" s="7"/>
      <c r="I6" s="7"/>
      <c r="J6" s="9"/>
      <c r="L6" s="11"/>
      <c r="M6" s="11"/>
      <c r="N6" s="11"/>
      <c r="O6" s="11"/>
      <c r="R6" s="7"/>
      <c r="S6" s="7"/>
      <c r="T6" s="7"/>
      <c r="U6" s="7"/>
      <c r="V6" s="7"/>
      <c r="W6" s="7"/>
    </row>
    <row r="7" spans="1:23" s="10" customFormat="1" ht="23.25" customHeight="1" thickBot="1">
      <c r="A7" s="7"/>
      <c r="B7" s="66" t="s">
        <v>95</v>
      </c>
      <c r="C7" s="75">
        <v>400</v>
      </c>
      <c r="D7" s="75"/>
      <c r="E7" s="76"/>
      <c r="F7" s="8"/>
      <c r="G7" s="12"/>
      <c r="H7" s="7"/>
      <c r="I7" s="7"/>
      <c r="J7" s="9"/>
      <c r="L7" s="11"/>
      <c r="M7" s="11"/>
      <c r="N7" s="11"/>
      <c r="O7" s="11"/>
      <c r="R7" s="7"/>
      <c r="S7" s="7"/>
      <c r="T7" s="7"/>
      <c r="U7" s="7"/>
      <c r="V7" s="7"/>
      <c r="W7" s="7"/>
    </row>
    <row r="8" spans="1:23" s="10" customFormat="1" ht="4.9000000000000004" customHeight="1">
      <c r="A8" s="7"/>
      <c r="B8" s="7"/>
      <c r="C8" s="5"/>
      <c r="D8" s="5"/>
      <c r="E8" s="5"/>
      <c r="F8" s="12"/>
      <c r="G8" s="12"/>
      <c r="H8" s="7"/>
      <c r="I8" s="7"/>
      <c r="J8" s="9"/>
      <c r="L8" s="11"/>
      <c r="M8" s="11"/>
      <c r="N8" s="11"/>
      <c r="O8" s="11"/>
      <c r="R8" s="7"/>
      <c r="S8" s="7"/>
      <c r="T8" s="7"/>
    </row>
    <row r="9" spans="1:23" s="10" customFormat="1" ht="4.9000000000000004" customHeight="1" thickBot="1">
      <c r="A9" s="7"/>
      <c r="B9" s="7"/>
      <c r="C9" s="5"/>
      <c r="D9" s="5"/>
      <c r="E9" s="5"/>
      <c r="F9" s="12"/>
      <c r="G9" s="12"/>
      <c r="H9" s="7"/>
      <c r="I9" s="7"/>
      <c r="J9" s="9"/>
      <c r="L9" s="11"/>
      <c r="M9" s="11"/>
      <c r="N9" s="11"/>
      <c r="O9" s="11"/>
      <c r="R9" s="7"/>
      <c r="S9" s="7"/>
      <c r="T9" s="7"/>
    </row>
    <row r="10" spans="1:23" s="10" customFormat="1" ht="26.25" customHeight="1">
      <c r="A10" s="7"/>
      <c r="B10" s="64" t="s">
        <v>0</v>
      </c>
      <c r="C10" s="78" t="s">
        <v>54</v>
      </c>
      <c r="D10" s="79"/>
      <c r="E10" s="80"/>
      <c r="F10" s="12"/>
      <c r="G10" s="12"/>
      <c r="H10" s="7"/>
      <c r="I10" s="7"/>
      <c r="J10" s="9"/>
      <c r="L10" s="11"/>
      <c r="M10" s="11"/>
      <c r="N10" s="11"/>
      <c r="O10" s="11"/>
      <c r="R10" s="7"/>
      <c r="S10" s="7"/>
      <c r="T10" s="7"/>
    </row>
    <row r="11" spans="1:23" s="10" customFormat="1" ht="26.25" customHeight="1" thickBot="1">
      <c r="A11" s="7"/>
      <c r="B11" s="65" t="s">
        <v>1</v>
      </c>
      <c r="C11" s="81" t="str">
        <f>VLOOKUP(C10,LineActivity!$B$2:$C$19,2,FALSE)</f>
        <v>Line 13 SPECIAL PRODUCTS - WATER BASED</v>
      </c>
      <c r="D11" s="81"/>
      <c r="E11" s="82"/>
      <c r="F11" s="12"/>
      <c r="G11" s="12"/>
      <c r="H11" s="7"/>
      <c r="I11" s="7"/>
      <c r="J11" s="9"/>
      <c r="L11" s="11"/>
      <c r="M11" s="11"/>
      <c r="N11" s="11"/>
      <c r="O11" s="11"/>
      <c r="R11" s="7"/>
      <c r="S11" s="7"/>
      <c r="T11" s="7"/>
    </row>
    <row r="12" spans="1:23" s="10" customFormat="1" ht="4.9000000000000004" customHeight="1">
      <c r="A12" s="7"/>
      <c r="B12" s="7"/>
      <c r="C12" s="5"/>
      <c r="D12" s="5"/>
      <c r="E12" s="5"/>
      <c r="F12" s="12"/>
      <c r="G12" s="12"/>
      <c r="H12" s="7"/>
      <c r="I12" s="7"/>
      <c r="J12" s="9"/>
      <c r="L12" s="11"/>
      <c r="M12" s="11"/>
      <c r="N12" s="11"/>
      <c r="O12" s="11"/>
      <c r="R12" s="7"/>
      <c r="S12" s="7"/>
      <c r="T12" s="7"/>
    </row>
    <row r="13" spans="1:23" s="10" customFormat="1">
      <c r="A13" s="7"/>
      <c r="B13" s="7"/>
      <c r="C13" s="5"/>
      <c r="D13" s="5"/>
      <c r="E13" s="5"/>
      <c r="F13" s="15"/>
      <c r="G13" s="15"/>
      <c r="H13" s="15"/>
      <c r="I13" s="15"/>
      <c r="J13" s="9"/>
      <c r="K13" s="83" t="s">
        <v>64</v>
      </c>
      <c r="L13" s="83"/>
      <c r="M13" s="83"/>
      <c r="N13" s="83"/>
      <c r="O13" s="83"/>
      <c r="R13" s="7"/>
      <c r="S13" s="7"/>
      <c r="T13" s="7"/>
    </row>
    <row r="14" spans="1:23" s="10" customFormat="1" ht="46.5">
      <c r="A14" s="7"/>
      <c r="B14" s="23" t="s">
        <v>2</v>
      </c>
      <c r="C14" s="23" t="s">
        <v>3</v>
      </c>
      <c r="D14" s="23" t="s">
        <v>4</v>
      </c>
      <c r="E14" s="23" t="s">
        <v>5</v>
      </c>
      <c r="F14" s="84" t="s">
        <v>6</v>
      </c>
      <c r="G14" s="84"/>
      <c r="H14" s="24" t="s">
        <v>92</v>
      </c>
      <c r="I14" s="24" t="s">
        <v>93</v>
      </c>
      <c r="J14" s="9"/>
      <c r="K14" s="25" t="s">
        <v>7</v>
      </c>
      <c r="L14" s="26" t="s">
        <v>63</v>
      </c>
      <c r="M14" s="35" t="s">
        <v>65</v>
      </c>
      <c r="N14" s="27" t="s">
        <v>8</v>
      </c>
      <c r="O14" s="27" t="s">
        <v>9</v>
      </c>
      <c r="R14" s="7"/>
      <c r="S14" s="7"/>
      <c r="T14" s="7"/>
    </row>
    <row r="15" spans="1:23" s="10" customFormat="1" ht="8.25" customHeight="1">
      <c r="A15" s="7"/>
      <c r="B15" s="16"/>
      <c r="C15" s="16"/>
      <c r="D15" s="5"/>
      <c r="E15" s="5"/>
      <c r="F15" s="16"/>
      <c r="G15" s="7"/>
      <c r="H15" s="9"/>
      <c r="I15" s="16"/>
      <c r="J15" s="9"/>
      <c r="L15" s="11"/>
      <c r="M15" s="11"/>
      <c r="N15" s="11"/>
      <c r="O15" s="11"/>
      <c r="R15" s="7"/>
      <c r="S15" s="7"/>
      <c r="T15" s="7"/>
    </row>
    <row r="16" spans="1:23" s="10" customFormat="1" ht="15.5">
      <c r="A16" s="7"/>
      <c r="B16" s="22"/>
      <c r="C16" s="62"/>
      <c r="D16" s="62"/>
      <c r="E16" s="63"/>
      <c r="F16" s="55">
        <f>ROUNDUP(E16/$C$7,5)</f>
        <v>0</v>
      </c>
      <c r="G16" s="56" t="s">
        <v>11</v>
      </c>
      <c r="H16" s="57">
        <f t="shared" ref="H16:H25" si="0">(C16*E16)</f>
        <v>0</v>
      </c>
      <c r="I16" s="57">
        <f t="shared" ref="I16:I25" si="1">D16*E16</f>
        <v>0</v>
      </c>
      <c r="J16" s="9"/>
      <c r="K16" s="58" t="str">
        <f t="shared" ref="K16:K25" si="2">IF(B16="","",B16)</f>
        <v/>
      </c>
      <c r="L16" s="59" t="str">
        <f t="shared" ref="L16:L25" si="3">IFERROR(ROUNDUP(1/(ROUND((F16*C16),5)),0),"")</f>
        <v/>
      </c>
      <c r="M16" s="59">
        <f t="shared" ref="M16:M25" si="4">IFERROR((ROUND((F16*C16),5)),"")</f>
        <v>0</v>
      </c>
      <c r="N16" s="59">
        <f>IFERROR(ROUND(F16,5),"")</f>
        <v>0</v>
      </c>
      <c r="O16" s="59">
        <f>IFERROR(ROUND(F16,5),"")</f>
        <v>0</v>
      </c>
      <c r="R16" s="7"/>
      <c r="S16" s="7"/>
      <c r="T16" s="7"/>
    </row>
    <row r="17" spans="1:20" s="10" customFormat="1" ht="15.5">
      <c r="A17" s="7"/>
      <c r="B17" s="22"/>
      <c r="C17" s="62"/>
      <c r="D17" s="62"/>
      <c r="E17" s="63"/>
      <c r="F17" s="55">
        <f t="shared" ref="F17:F25" si="5">ROUNDUP(E17/$C$7,5)</f>
        <v>0</v>
      </c>
      <c r="G17" s="56" t="s">
        <v>11</v>
      </c>
      <c r="H17" s="57">
        <f t="shared" si="0"/>
        <v>0</v>
      </c>
      <c r="I17" s="57">
        <f t="shared" si="1"/>
        <v>0</v>
      </c>
      <c r="J17" s="9"/>
      <c r="K17" s="58" t="str">
        <f t="shared" si="2"/>
        <v/>
      </c>
      <c r="L17" s="59" t="str">
        <f t="shared" si="3"/>
        <v/>
      </c>
      <c r="M17" s="59">
        <f t="shared" si="4"/>
        <v>0</v>
      </c>
      <c r="N17" s="59">
        <f t="shared" ref="N17:N25" si="6">IFERROR(ROUND(F17,5),"")</f>
        <v>0</v>
      </c>
      <c r="O17" s="59">
        <f t="shared" ref="O17:O25" si="7">IFERROR(ROUND(F17,5),"")</f>
        <v>0</v>
      </c>
      <c r="R17" s="7"/>
      <c r="S17" s="7"/>
      <c r="T17" s="7"/>
    </row>
    <row r="18" spans="1:20" s="10" customFormat="1" ht="15.5">
      <c r="A18" s="7"/>
      <c r="B18" s="22"/>
      <c r="C18" s="62"/>
      <c r="D18" s="62"/>
      <c r="E18" s="63"/>
      <c r="F18" s="55">
        <f t="shared" si="5"/>
        <v>0</v>
      </c>
      <c r="G18" s="56" t="s">
        <v>11</v>
      </c>
      <c r="H18" s="57">
        <f t="shared" si="0"/>
        <v>0</v>
      </c>
      <c r="I18" s="57">
        <f t="shared" si="1"/>
        <v>0</v>
      </c>
      <c r="J18" s="9"/>
      <c r="K18" s="58" t="str">
        <f t="shared" si="2"/>
        <v/>
      </c>
      <c r="L18" s="59" t="str">
        <f t="shared" si="3"/>
        <v/>
      </c>
      <c r="M18" s="59">
        <f t="shared" si="4"/>
        <v>0</v>
      </c>
      <c r="N18" s="59">
        <f t="shared" si="6"/>
        <v>0</v>
      </c>
      <c r="O18" s="59">
        <f t="shared" si="7"/>
        <v>0</v>
      </c>
      <c r="R18" s="7"/>
      <c r="S18" s="7"/>
      <c r="T18" s="7"/>
    </row>
    <row r="19" spans="1:20" s="10" customFormat="1" ht="15.5">
      <c r="A19" s="7"/>
      <c r="B19" s="22"/>
      <c r="C19" s="62"/>
      <c r="D19" s="62"/>
      <c r="E19" s="63"/>
      <c r="F19" s="55">
        <f t="shared" si="5"/>
        <v>0</v>
      </c>
      <c r="G19" s="56" t="s">
        <v>11</v>
      </c>
      <c r="H19" s="57">
        <f t="shared" si="0"/>
        <v>0</v>
      </c>
      <c r="I19" s="57">
        <f t="shared" si="1"/>
        <v>0</v>
      </c>
      <c r="J19" s="9"/>
      <c r="K19" s="58" t="str">
        <f t="shared" si="2"/>
        <v/>
      </c>
      <c r="L19" s="59" t="str">
        <f t="shared" si="3"/>
        <v/>
      </c>
      <c r="M19" s="59">
        <f t="shared" si="4"/>
        <v>0</v>
      </c>
      <c r="N19" s="59">
        <f t="shared" si="6"/>
        <v>0</v>
      </c>
      <c r="O19" s="59">
        <f t="shared" si="7"/>
        <v>0</v>
      </c>
      <c r="R19" s="7"/>
      <c r="S19" s="7"/>
      <c r="T19" s="7"/>
    </row>
    <row r="20" spans="1:20" s="10" customFormat="1" ht="15.5">
      <c r="A20" s="7"/>
      <c r="B20" s="22"/>
      <c r="C20" s="62"/>
      <c r="D20" s="62"/>
      <c r="E20" s="63"/>
      <c r="F20" s="55">
        <f t="shared" si="5"/>
        <v>0</v>
      </c>
      <c r="G20" s="56" t="s">
        <v>11</v>
      </c>
      <c r="H20" s="57">
        <f t="shared" si="0"/>
        <v>0</v>
      </c>
      <c r="I20" s="57">
        <f t="shared" si="1"/>
        <v>0</v>
      </c>
      <c r="J20" s="9"/>
      <c r="K20" s="58" t="str">
        <f t="shared" si="2"/>
        <v/>
      </c>
      <c r="L20" s="59" t="str">
        <f t="shared" si="3"/>
        <v/>
      </c>
      <c r="M20" s="59">
        <f t="shared" si="4"/>
        <v>0</v>
      </c>
      <c r="N20" s="59">
        <f t="shared" si="6"/>
        <v>0</v>
      </c>
      <c r="O20" s="59">
        <f t="shared" si="7"/>
        <v>0</v>
      </c>
      <c r="R20" s="7"/>
      <c r="S20" s="7"/>
      <c r="T20" s="7"/>
    </row>
    <row r="21" spans="1:20" s="10" customFormat="1" ht="15.5">
      <c r="A21" s="7"/>
      <c r="B21" s="22"/>
      <c r="C21" s="62"/>
      <c r="D21" s="62"/>
      <c r="E21" s="63"/>
      <c r="F21" s="55">
        <f t="shared" si="5"/>
        <v>0</v>
      </c>
      <c r="G21" s="56" t="s">
        <v>11</v>
      </c>
      <c r="H21" s="57">
        <f t="shared" si="0"/>
        <v>0</v>
      </c>
      <c r="I21" s="57">
        <f t="shared" si="1"/>
        <v>0</v>
      </c>
      <c r="J21" s="9"/>
      <c r="K21" s="58" t="str">
        <f t="shared" si="2"/>
        <v/>
      </c>
      <c r="L21" s="59" t="str">
        <f t="shared" si="3"/>
        <v/>
      </c>
      <c r="M21" s="59">
        <f t="shared" si="4"/>
        <v>0</v>
      </c>
      <c r="N21" s="59">
        <f t="shared" si="6"/>
        <v>0</v>
      </c>
      <c r="O21" s="59">
        <f t="shared" si="7"/>
        <v>0</v>
      </c>
      <c r="R21" s="7"/>
      <c r="S21" s="7"/>
      <c r="T21" s="7"/>
    </row>
    <row r="22" spans="1:20" s="10" customFormat="1" ht="15.5">
      <c r="A22" s="7"/>
      <c r="B22" s="22"/>
      <c r="C22" s="62"/>
      <c r="D22" s="62"/>
      <c r="E22" s="63"/>
      <c r="F22" s="55">
        <f t="shared" si="5"/>
        <v>0</v>
      </c>
      <c r="G22" s="56" t="s">
        <v>11</v>
      </c>
      <c r="H22" s="57">
        <f t="shared" si="0"/>
        <v>0</v>
      </c>
      <c r="I22" s="57">
        <f t="shared" si="1"/>
        <v>0</v>
      </c>
      <c r="J22" s="9"/>
      <c r="K22" s="58" t="str">
        <f t="shared" si="2"/>
        <v/>
      </c>
      <c r="L22" s="59" t="str">
        <f t="shared" si="3"/>
        <v/>
      </c>
      <c r="M22" s="59">
        <f t="shared" si="4"/>
        <v>0</v>
      </c>
      <c r="N22" s="59">
        <f t="shared" si="6"/>
        <v>0</v>
      </c>
      <c r="O22" s="59">
        <f t="shared" si="7"/>
        <v>0</v>
      </c>
      <c r="R22" s="7"/>
      <c r="S22" s="7"/>
      <c r="T22" s="7"/>
    </row>
    <row r="23" spans="1:20" s="10" customFormat="1" ht="15.5">
      <c r="A23" s="7"/>
      <c r="B23" s="22"/>
      <c r="C23" s="62"/>
      <c r="D23" s="62"/>
      <c r="E23" s="63"/>
      <c r="F23" s="55">
        <f t="shared" si="5"/>
        <v>0</v>
      </c>
      <c r="G23" s="56" t="s">
        <v>11</v>
      </c>
      <c r="H23" s="57">
        <f t="shared" si="0"/>
        <v>0</v>
      </c>
      <c r="I23" s="57">
        <f t="shared" si="1"/>
        <v>0</v>
      </c>
      <c r="J23" s="9"/>
      <c r="K23" s="58" t="str">
        <f t="shared" si="2"/>
        <v/>
      </c>
      <c r="L23" s="59" t="str">
        <f t="shared" si="3"/>
        <v/>
      </c>
      <c r="M23" s="59">
        <f t="shared" si="4"/>
        <v>0</v>
      </c>
      <c r="N23" s="59">
        <f t="shared" si="6"/>
        <v>0</v>
      </c>
      <c r="O23" s="59">
        <f t="shared" si="7"/>
        <v>0</v>
      </c>
      <c r="R23" s="7"/>
      <c r="S23" s="7"/>
      <c r="T23" s="7"/>
    </row>
    <row r="24" spans="1:20" s="10" customFormat="1" ht="15.5">
      <c r="A24" s="7"/>
      <c r="B24" s="22"/>
      <c r="C24" s="62"/>
      <c r="D24" s="62"/>
      <c r="E24" s="63"/>
      <c r="F24" s="55">
        <f t="shared" si="5"/>
        <v>0</v>
      </c>
      <c r="G24" s="56" t="s">
        <v>11</v>
      </c>
      <c r="H24" s="57">
        <f t="shared" si="0"/>
        <v>0</v>
      </c>
      <c r="I24" s="57">
        <f t="shared" si="1"/>
        <v>0</v>
      </c>
      <c r="J24" s="9"/>
      <c r="K24" s="58" t="str">
        <f t="shared" si="2"/>
        <v/>
      </c>
      <c r="L24" s="59" t="str">
        <f t="shared" si="3"/>
        <v/>
      </c>
      <c r="M24" s="59">
        <f t="shared" si="4"/>
        <v>0</v>
      </c>
      <c r="N24" s="59">
        <f t="shared" si="6"/>
        <v>0</v>
      </c>
      <c r="O24" s="59">
        <f t="shared" si="7"/>
        <v>0</v>
      </c>
      <c r="R24" s="7"/>
      <c r="S24" s="7"/>
      <c r="T24" s="7"/>
    </row>
    <row r="25" spans="1:20" s="10" customFormat="1" ht="15.5">
      <c r="A25" s="7"/>
      <c r="B25" s="22"/>
      <c r="C25" s="62"/>
      <c r="D25" s="62"/>
      <c r="E25" s="63"/>
      <c r="F25" s="55">
        <f t="shared" si="5"/>
        <v>0</v>
      </c>
      <c r="G25" s="56" t="s">
        <v>11</v>
      </c>
      <c r="H25" s="57">
        <f t="shared" si="0"/>
        <v>0</v>
      </c>
      <c r="I25" s="57">
        <f t="shared" si="1"/>
        <v>0</v>
      </c>
      <c r="J25" s="9"/>
      <c r="K25" s="58" t="str">
        <f t="shared" si="2"/>
        <v/>
      </c>
      <c r="L25" s="59" t="str">
        <f t="shared" si="3"/>
        <v/>
      </c>
      <c r="M25" s="59">
        <f t="shared" si="4"/>
        <v>0</v>
      </c>
      <c r="N25" s="59">
        <f t="shared" si="6"/>
        <v>0</v>
      </c>
      <c r="O25" s="59">
        <f t="shared" si="7"/>
        <v>0</v>
      </c>
      <c r="R25" s="7"/>
      <c r="S25" s="7"/>
      <c r="T25" s="7"/>
    </row>
    <row r="26" spans="1:20" s="10" customFormat="1" ht="7.5" customHeight="1">
      <c r="A26" s="7"/>
      <c r="B26" s="5"/>
      <c r="C26" s="5"/>
      <c r="D26" s="5"/>
      <c r="E26" s="5"/>
      <c r="F26" s="12"/>
      <c r="G26" s="12"/>
      <c r="H26" s="7"/>
      <c r="I26" s="7"/>
      <c r="J26" s="9"/>
      <c r="K26" s="28"/>
      <c r="L26" s="29"/>
      <c r="M26" s="29"/>
      <c r="N26" s="29"/>
      <c r="O26" s="29"/>
      <c r="R26" s="7"/>
      <c r="S26" s="7"/>
      <c r="T26" s="7"/>
    </row>
    <row r="27" spans="1:20" s="10" customFormat="1" ht="18.5">
      <c r="A27" s="7"/>
      <c r="B27" s="31" t="s">
        <v>12</v>
      </c>
      <c r="C27" s="32"/>
      <c r="D27" s="32"/>
      <c r="E27" s="32"/>
      <c r="F27" s="34">
        <f>SUM(F16:F26)</f>
        <v>0</v>
      </c>
      <c r="G27" s="33"/>
      <c r="H27" s="34">
        <f>SUM(H16:H26)</f>
        <v>0</v>
      </c>
      <c r="I27" s="34">
        <f>SUM(I16:I26)</f>
        <v>0</v>
      </c>
      <c r="J27" s="17"/>
      <c r="K27" s="30"/>
      <c r="L27" s="30">
        <f>SUM(L16:L26)</f>
        <v>0</v>
      </c>
      <c r="M27" s="30"/>
      <c r="N27" s="30">
        <f>SUM(N16:N26)</f>
        <v>0</v>
      </c>
      <c r="O27" s="30">
        <f>SUM(O16:O26)</f>
        <v>0</v>
      </c>
      <c r="R27" s="7"/>
      <c r="S27" s="7"/>
      <c r="T27" s="7"/>
    </row>
    <row r="28" spans="1:20" s="10" customFormat="1">
      <c r="A28" s="7"/>
      <c r="B28" s="77"/>
      <c r="C28" s="77"/>
      <c r="D28" s="77"/>
      <c r="E28" s="77"/>
      <c r="F28" s="77"/>
      <c r="G28" s="77"/>
      <c r="H28" s="77"/>
      <c r="I28" s="77"/>
      <c r="J28" s="9"/>
      <c r="L28" s="11"/>
      <c r="M28" s="11"/>
      <c r="N28" s="11"/>
      <c r="O28" s="11"/>
      <c r="R28" s="7"/>
      <c r="S28" s="7"/>
      <c r="T28" s="7"/>
    </row>
    <row r="29" spans="1:20" s="10" customFormat="1">
      <c r="A29" s="7"/>
      <c r="B29" s="18"/>
      <c r="C29" s="16"/>
      <c r="D29" s="5"/>
      <c r="E29" s="5"/>
      <c r="F29" s="16"/>
      <c r="G29" s="7"/>
      <c r="H29" s="9"/>
      <c r="I29" s="16"/>
      <c r="J29" s="9"/>
      <c r="L29" s="11"/>
      <c r="M29" s="11"/>
      <c r="N29" s="11"/>
      <c r="O29" s="11"/>
      <c r="R29" s="7"/>
      <c r="S29" s="7"/>
      <c r="T29" s="7"/>
    </row>
    <row r="30" spans="1:20" s="10" customFormat="1">
      <c r="A30" s="7"/>
      <c r="B30" s="77"/>
      <c r="C30" s="77"/>
      <c r="D30" s="77"/>
      <c r="E30" s="77"/>
      <c r="F30" s="77"/>
      <c r="G30" s="77"/>
      <c r="H30" s="77"/>
      <c r="I30" s="77"/>
      <c r="J30" s="9"/>
      <c r="L30" s="11"/>
      <c r="M30" s="11"/>
      <c r="N30" s="11"/>
      <c r="O30" s="11"/>
      <c r="R30" s="7"/>
      <c r="S30" s="7"/>
      <c r="T30" s="7"/>
    </row>
    <row r="31" spans="1:20" s="10" customFormat="1">
      <c r="A31" s="7"/>
      <c r="B31" s="18"/>
      <c r="C31" s="18"/>
      <c r="D31" s="18"/>
      <c r="E31" s="18"/>
      <c r="F31" s="18"/>
      <c r="G31" s="18"/>
      <c r="H31" s="19"/>
      <c r="I31" s="18"/>
      <c r="J31" s="9"/>
      <c r="L31" s="11"/>
      <c r="M31" s="11"/>
      <c r="N31" s="11"/>
      <c r="O31" s="11"/>
      <c r="R31" s="7"/>
      <c r="S31" s="7"/>
      <c r="T31" s="7"/>
    </row>
    <row r="32" spans="1:20" s="10" customFormat="1">
      <c r="A32" s="7"/>
      <c r="B32" s="18"/>
      <c r="C32" s="16"/>
      <c r="D32" s="5"/>
      <c r="E32" s="5"/>
      <c r="F32" s="16"/>
      <c r="G32" s="7"/>
      <c r="H32" s="9"/>
      <c r="I32" s="16"/>
      <c r="J32" s="9"/>
      <c r="L32" s="11"/>
      <c r="M32" s="11"/>
      <c r="N32" s="11"/>
      <c r="O32" s="11"/>
      <c r="R32" s="7"/>
      <c r="S32" s="7"/>
      <c r="T32" s="7"/>
    </row>
    <row r="33" spans="1:20" s="10" customFormat="1">
      <c r="A33" s="7"/>
      <c r="B33" s="18"/>
      <c r="C33" s="16"/>
      <c r="D33" s="5"/>
      <c r="E33" s="5"/>
      <c r="F33" s="16"/>
      <c r="G33" s="7"/>
      <c r="H33" s="9"/>
      <c r="I33" s="16"/>
      <c r="J33" s="9"/>
      <c r="L33" s="11"/>
      <c r="M33" s="11"/>
      <c r="N33" s="11"/>
      <c r="O33" s="11"/>
      <c r="R33" s="7"/>
      <c r="S33" s="7"/>
      <c r="T33" s="7"/>
    </row>
    <row r="34" spans="1:20" s="10" customFormat="1">
      <c r="A34" s="7"/>
      <c r="B34" s="16" t="s">
        <v>57</v>
      </c>
      <c r="C34" s="16"/>
      <c r="D34" s="5"/>
      <c r="E34" s="5"/>
      <c r="F34" s="16"/>
      <c r="G34" s="7"/>
      <c r="H34" s="9"/>
      <c r="I34" s="16" t="s">
        <v>59</v>
      </c>
      <c r="J34" s="9"/>
      <c r="L34" s="11"/>
      <c r="M34" s="11"/>
      <c r="N34" s="11"/>
      <c r="O34" s="11"/>
      <c r="R34" s="7"/>
      <c r="S34" s="7"/>
      <c r="T34" s="7"/>
    </row>
    <row r="35" spans="1:20" s="10" customFormat="1">
      <c r="A35" s="7"/>
      <c r="B35" s="7"/>
      <c r="C35" s="7"/>
      <c r="D35" s="5"/>
      <c r="E35" s="5"/>
      <c r="F35" s="7"/>
      <c r="G35" s="7"/>
      <c r="H35" s="9"/>
      <c r="I35" s="7"/>
      <c r="J35" s="9"/>
      <c r="L35" s="11"/>
      <c r="M35" s="11"/>
      <c r="N35" s="11"/>
      <c r="O35" s="11"/>
      <c r="R35" s="7"/>
      <c r="S35" s="7"/>
      <c r="T35" s="7"/>
    </row>
    <row r="36" spans="1:20" s="10" customFormat="1">
      <c r="A36" s="7"/>
      <c r="B36" s="7"/>
      <c r="C36" s="7"/>
      <c r="D36" s="5"/>
      <c r="E36" s="5"/>
      <c r="F36" s="7"/>
      <c r="G36" s="7"/>
      <c r="H36" s="9"/>
      <c r="I36" s="7"/>
      <c r="J36" s="9"/>
      <c r="L36" s="11"/>
      <c r="M36" s="11"/>
      <c r="N36" s="11"/>
      <c r="O36" s="11"/>
      <c r="R36" s="7"/>
      <c r="S36" s="7"/>
      <c r="T36" s="7"/>
    </row>
    <row r="37" spans="1:20" s="10" customFormat="1">
      <c r="A37" s="7"/>
      <c r="B37" s="20"/>
      <c r="C37" s="20"/>
      <c r="D37" s="5"/>
      <c r="E37" s="5"/>
      <c r="F37" s="16"/>
      <c r="G37" s="7"/>
      <c r="H37" s="9"/>
      <c r="I37" s="20"/>
      <c r="J37" s="9"/>
      <c r="L37" s="11"/>
      <c r="M37" s="11"/>
      <c r="N37" s="11"/>
      <c r="O37" s="11"/>
      <c r="R37" s="7"/>
      <c r="S37" s="7"/>
      <c r="T37" s="7"/>
    </row>
    <row r="38" spans="1:20" s="9" customFormat="1">
      <c r="A38" s="7"/>
      <c r="B38" s="21" t="s">
        <v>58</v>
      </c>
      <c r="C38" s="7"/>
      <c r="D38" s="5"/>
      <c r="E38" s="5"/>
      <c r="F38" s="7"/>
      <c r="G38" s="7"/>
      <c r="I38" s="7" t="s">
        <v>13</v>
      </c>
      <c r="K38" s="10"/>
      <c r="L38" s="11"/>
      <c r="M38" s="11"/>
      <c r="N38" s="11"/>
      <c r="O38" s="11"/>
      <c r="P38" s="10"/>
      <c r="Q38" s="10"/>
      <c r="R38" s="7"/>
      <c r="S38" s="7"/>
      <c r="T38" s="7"/>
    </row>
    <row r="39" spans="1:20" s="9" customFormat="1">
      <c r="A39" s="7"/>
      <c r="B39" s="16"/>
      <c r="C39" s="7"/>
      <c r="D39" s="7"/>
      <c r="E39" s="5"/>
      <c r="K39" s="10"/>
      <c r="L39" s="11"/>
      <c r="M39" s="11"/>
      <c r="N39" s="11"/>
      <c r="O39" s="11"/>
      <c r="P39" s="10"/>
      <c r="Q39" s="10"/>
      <c r="R39" s="7"/>
      <c r="S39" s="7"/>
      <c r="T39" s="7"/>
    </row>
    <row r="40" spans="1:20" s="9" customFormat="1">
      <c r="A40" s="7"/>
      <c r="B40" s="7"/>
      <c r="C40" s="7"/>
      <c r="D40" s="7"/>
      <c r="E40" s="5"/>
      <c r="K40" s="10"/>
      <c r="L40" s="11"/>
      <c r="M40" s="11"/>
      <c r="N40" s="11"/>
      <c r="O40" s="11"/>
      <c r="P40" s="10"/>
      <c r="Q40" s="10"/>
      <c r="R40" s="7"/>
      <c r="S40" s="7"/>
      <c r="T40" s="7"/>
    </row>
    <row r="41" spans="1:20" s="9" customFormat="1">
      <c r="A41" s="7"/>
      <c r="B41" s="5"/>
      <c r="C41" s="5"/>
      <c r="D41" s="7"/>
      <c r="E41" s="5"/>
      <c r="K41" s="10"/>
      <c r="L41" s="11"/>
      <c r="M41" s="11"/>
      <c r="N41" s="11"/>
      <c r="O41" s="11"/>
      <c r="P41" s="10"/>
      <c r="Q41" s="10"/>
      <c r="R41" s="7"/>
      <c r="S41" s="7"/>
      <c r="T41" s="7"/>
    </row>
    <row r="42" spans="1:20" s="9" customFormat="1">
      <c r="A42" s="7"/>
      <c r="B42" s="7"/>
      <c r="C42" s="7"/>
      <c r="D42" s="7"/>
      <c r="E42" s="7"/>
      <c r="F42" s="7"/>
      <c r="G42" s="7"/>
      <c r="K42" s="10"/>
      <c r="L42" s="11"/>
      <c r="M42" s="11"/>
      <c r="N42" s="11"/>
      <c r="O42" s="11"/>
      <c r="P42" s="10"/>
      <c r="Q42" s="10"/>
      <c r="R42" s="7"/>
      <c r="S42" s="7"/>
      <c r="T42" s="7"/>
    </row>
    <row r="43" spans="1:20" s="9" customFormat="1">
      <c r="A43" s="7"/>
      <c r="B43" s="7"/>
      <c r="C43" s="7"/>
      <c r="D43" s="7"/>
      <c r="E43" s="7"/>
      <c r="F43" s="7"/>
      <c r="G43" s="7"/>
      <c r="K43" s="10"/>
      <c r="L43" s="11"/>
      <c r="M43" s="11"/>
      <c r="N43" s="11"/>
      <c r="O43" s="11"/>
      <c r="P43" s="10"/>
      <c r="Q43" s="10"/>
      <c r="R43" s="7"/>
      <c r="S43" s="7"/>
      <c r="T43" s="7"/>
    </row>
    <row r="44" spans="1:20" s="9" customFormat="1">
      <c r="A44" s="7"/>
      <c r="B44" s="7"/>
      <c r="C44" s="7"/>
      <c r="D44" s="7"/>
      <c r="E44" s="7"/>
      <c r="F44" s="7"/>
      <c r="G44" s="7"/>
      <c r="K44" s="10"/>
      <c r="L44" s="11"/>
      <c r="M44" s="11"/>
      <c r="N44" s="11"/>
      <c r="O44" s="11"/>
      <c r="P44" s="10"/>
      <c r="Q44" s="10"/>
      <c r="R44" s="7"/>
      <c r="S44" s="7"/>
      <c r="T44" s="7"/>
    </row>
    <row r="45" spans="1:20" s="9" customFormat="1">
      <c r="A45" s="7"/>
      <c r="B45" s="7"/>
      <c r="C45" s="7"/>
      <c r="D45" s="7"/>
      <c r="E45" s="7"/>
      <c r="F45" s="7"/>
      <c r="G45" s="7"/>
      <c r="K45" s="10"/>
      <c r="L45" s="11"/>
      <c r="M45" s="11"/>
      <c r="N45" s="11"/>
      <c r="O45" s="11"/>
      <c r="P45" s="10"/>
      <c r="Q45" s="10"/>
      <c r="R45" s="7"/>
      <c r="S45" s="7"/>
      <c r="T45" s="7"/>
    </row>
    <row r="46" spans="1:20" s="9" customFormat="1">
      <c r="A46" s="7"/>
      <c r="B46" s="7"/>
      <c r="C46" s="7"/>
      <c r="D46" s="7"/>
      <c r="E46" s="7"/>
      <c r="F46" s="7"/>
      <c r="G46" s="7"/>
      <c r="K46" s="10"/>
      <c r="L46" s="11"/>
      <c r="M46" s="11"/>
      <c r="N46" s="11"/>
      <c r="O46" s="11"/>
      <c r="P46" s="10"/>
      <c r="Q46" s="10"/>
      <c r="R46" s="7"/>
      <c r="S46" s="7"/>
      <c r="T46" s="7"/>
    </row>
    <row r="47" spans="1:20" s="9" customFormat="1">
      <c r="A47" s="7"/>
      <c r="B47" s="7"/>
      <c r="C47" s="7"/>
      <c r="D47" s="7"/>
      <c r="E47" s="7"/>
      <c r="F47" s="7"/>
      <c r="G47" s="7"/>
      <c r="K47" s="10"/>
      <c r="L47" s="11"/>
      <c r="M47" s="11"/>
      <c r="N47" s="11"/>
      <c r="O47" s="11"/>
      <c r="P47" s="10"/>
      <c r="Q47" s="10"/>
      <c r="R47" s="7"/>
      <c r="S47" s="7"/>
      <c r="T47" s="7"/>
    </row>
    <row r="48" spans="1:20" s="9" customFormat="1">
      <c r="A48" s="7"/>
      <c r="B48" s="7"/>
      <c r="C48" s="7"/>
      <c r="D48" s="7"/>
      <c r="E48" s="7"/>
      <c r="F48" s="7"/>
      <c r="G48" s="7"/>
      <c r="K48" s="10"/>
      <c r="L48" s="11"/>
      <c r="M48" s="11"/>
      <c r="N48" s="11"/>
      <c r="O48" s="11"/>
      <c r="P48" s="10"/>
      <c r="Q48" s="10"/>
      <c r="R48" s="7"/>
      <c r="S48" s="7"/>
      <c r="T48" s="7"/>
    </row>
    <row r="49" spans="1:20" s="9" customFormat="1">
      <c r="A49" s="7"/>
      <c r="B49" s="7"/>
      <c r="C49" s="7"/>
      <c r="D49" s="7"/>
      <c r="E49" s="7"/>
      <c r="F49" s="7"/>
      <c r="G49" s="7"/>
      <c r="K49" s="10"/>
      <c r="L49" s="11"/>
      <c r="M49" s="11"/>
      <c r="N49" s="11"/>
      <c r="O49" s="11"/>
      <c r="P49" s="10"/>
      <c r="Q49" s="10"/>
      <c r="R49" s="7"/>
      <c r="S49" s="7"/>
      <c r="T49" s="7"/>
    </row>
    <row r="50" spans="1:20" s="9" customFormat="1">
      <c r="A50" s="7"/>
      <c r="B50" s="7"/>
      <c r="C50" s="7"/>
      <c r="D50" s="7"/>
      <c r="E50" s="7"/>
      <c r="F50" s="7"/>
      <c r="G50" s="7"/>
      <c r="K50" s="10"/>
      <c r="L50" s="11"/>
      <c r="M50" s="11"/>
      <c r="N50" s="11"/>
      <c r="O50" s="11"/>
      <c r="P50" s="10"/>
      <c r="Q50" s="10"/>
      <c r="R50" s="7"/>
      <c r="S50" s="7"/>
      <c r="T50" s="7"/>
    </row>
    <row r="51" spans="1:20" s="9" customFormat="1">
      <c r="A51" s="7"/>
      <c r="B51" s="7"/>
      <c r="C51" s="7"/>
      <c r="D51" s="7"/>
      <c r="E51" s="7"/>
      <c r="F51" s="7"/>
      <c r="G51" s="7"/>
      <c r="K51" s="10"/>
      <c r="L51" s="11"/>
      <c r="M51" s="11"/>
      <c r="N51" s="11"/>
      <c r="O51" s="11"/>
      <c r="P51" s="10"/>
      <c r="Q51" s="10"/>
      <c r="R51" s="7"/>
      <c r="S51" s="7"/>
      <c r="T51" s="7"/>
    </row>
    <row r="52" spans="1:20" s="9" customFormat="1">
      <c r="A52" s="7"/>
      <c r="B52" s="7"/>
      <c r="C52" s="7"/>
      <c r="D52" s="7"/>
      <c r="E52" s="7"/>
      <c r="F52" s="7"/>
      <c r="G52" s="7"/>
      <c r="K52" s="10"/>
      <c r="L52" s="11"/>
      <c r="M52" s="11"/>
      <c r="N52" s="11"/>
      <c r="O52" s="11"/>
      <c r="P52" s="10"/>
      <c r="Q52" s="10"/>
      <c r="R52" s="7"/>
      <c r="S52" s="7"/>
      <c r="T52" s="7"/>
    </row>
    <row r="53" spans="1:20" s="9" customFormat="1">
      <c r="A53" s="7"/>
      <c r="B53" s="7"/>
      <c r="C53" s="7"/>
      <c r="D53" s="7"/>
      <c r="E53" s="7"/>
      <c r="F53" s="7"/>
      <c r="G53" s="7"/>
      <c r="K53" s="10"/>
      <c r="L53" s="11"/>
      <c r="M53" s="11"/>
      <c r="N53" s="11"/>
      <c r="O53" s="11"/>
      <c r="P53" s="10"/>
      <c r="Q53" s="10"/>
      <c r="R53" s="7"/>
      <c r="S53" s="7"/>
      <c r="T53" s="7"/>
    </row>
    <row r="54" spans="1:20" s="9" customFormat="1">
      <c r="A54" s="7"/>
      <c r="B54" s="7"/>
      <c r="C54" s="7"/>
      <c r="D54" s="7"/>
      <c r="E54" s="7"/>
      <c r="F54" s="7"/>
      <c r="G54" s="7"/>
      <c r="K54" s="10"/>
      <c r="L54" s="11"/>
      <c r="M54" s="11"/>
      <c r="N54" s="11"/>
      <c r="O54" s="11"/>
      <c r="P54" s="10"/>
      <c r="Q54" s="10"/>
      <c r="R54" s="7"/>
      <c r="S54" s="7"/>
      <c r="T54" s="7"/>
    </row>
    <row r="55" spans="1:20" s="9" customFormat="1">
      <c r="A55" s="7"/>
      <c r="B55" s="7"/>
      <c r="C55" s="7"/>
      <c r="D55" s="7"/>
      <c r="E55" s="7"/>
      <c r="F55" s="7"/>
      <c r="G55" s="7"/>
      <c r="K55" s="10"/>
      <c r="L55" s="11"/>
      <c r="M55" s="11"/>
      <c r="N55" s="11"/>
      <c r="O55" s="11"/>
      <c r="P55" s="10"/>
      <c r="Q55" s="10"/>
      <c r="R55" s="7"/>
      <c r="S55" s="7"/>
      <c r="T55" s="7"/>
    </row>
    <row r="56" spans="1:20" s="9" customFormat="1">
      <c r="A56" s="7"/>
      <c r="B56" s="7"/>
      <c r="C56" s="7"/>
      <c r="D56" s="7"/>
      <c r="E56" s="7"/>
      <c r="F56" s="7"/>
      <c r="G56" s="7"/>
      <c r="K56" s="10"/>
      <c r="L56" s="11"/>
      <c r="M56" s="11"/>
      <c r="N56" s="11"/>
      <c r="O56" s="11"/>
      <c r="P56" s="10"/>
      <c r="Q56" s="10"/>
      <c r="R56" s="7"/>
      <c r="S56" s="7"/>
      <c r="T56" s="7"/>
    </row>
    <row r="57" spans="1:20" s="9" customFormat="1">
      <c r="A57" s="7"/>
      <c r="B57" s="7"/>
      <c r="C57" s="7"/>
      <c r="D57" s="7"/>
      <c r="E57" s="7"/>
      <c r="F57" s="7"/>
      <c r="G57" s="7"/>
      <c r="K57" s="10"/>
      <c r="L57" s="11"/>
      <c r="M57" s="11"/>
      <c r="N57" s="11"/>
      <c r="O57" s="11"/>
      <c r="P57" s="10"/>
      <c r="Q57" s="10"/>
      <c r="R57" s="7"/>
      <c r="S57" s="7"/>
      <c r="T57" s="7"/>
    </row>
    <row r="58" spans="1:20" s="9" customFormat="1">
      <c r="A58" s="7"/>
      <c r="B58" s="7"/>
      <c r="C58" s="7"/>
      <c r="D58" s="7"/>
      <c r="E58" s="7"/>
      <c r="F58" s="7"/>
      <c r="G58" s="7"/>
      <c r="K58" s="10"/>
      <c r="L58" s="11"/>
      <c r="M58" s="11"/>
      <c r="N58" s="11"/>
      <c r="O58" s="11"/>
      <c r="P58" s="10"/>
      <c r="Q58" s="10"/>
      <c r="R58" s="7"/>
      <c r="S58" s="7"/>
      <c r="T58" s="7"/>
    </row>
  </sheetData>
  <mergeCells count="9">
    <mergeCell ref="K13:O13"/>
    <mergeCell ref="F14:G14"/>
    <mergeCell ref="C4:E4"/>
    <mergeCell ref="C5:E5"/>
    <mergeCell ref="C7:E7"/>
    <mergeCell ref="B28:I28"/>
    <mergeCell ref="B30:I30"/>
    <mergeCell ref="C10:E10"/>
    <mergeCell ref="C11:E11"/>
  </mergeCells>
  <dataValidations count="1">
    <dataValidation type="list" allowBlank="1" showInputMessage="1" showErrorMessage="1" sqref="B16:B25">
      <formula1>INDIRECT("Table1["&amp;$C$10&amp;"]")</formula1>
    </dataValidation>
  </dataValidations>
  <printOptions horizontalCentered="1" verticalCentered="1"/>
  <pageMargins left="0.19685039370078741" right="0.19685039370078741" top="0.39370078740157483" bottom="0.39370078740157483" header="0.19685039370078741" footer="0.19685039370078741"/>
  <pageSetup paperSize="9" scale="68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 Message" error="Please select only the production line from the dropdown list." promptTitle="Production Line" prompt="From the dropdown list, kinldy select the production line.">
          <x14:formula1>
            <xm:f>LineActivity!$B$2:$B$19</xm:f>
          </x14:formula1>
          <xm:sqref>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A1:W61"/>
  <sheetViews>
    <sheetView showGridLines="0" tabSelected="1" zoomScale="70" zoomScaleNormal="70" workbookViewId="0">
      <pane ySplit="14" topLeftCell="A15" activePane="bottomLeft" state="frozen"/>
      <selection pane="bottomLeft" activeCell="F35" sqref="F35"/>
    </sheetView>
  </sheetViews>
  <sheetFormatPr defaultColWidth="0" defaultRowHeight="14.5"/>
  <cols>
    <col min="1" max="1" width="0.81640625" style="7" customWidth="1"/>
    <col min="2" max="2" width="37.36328125" style="5" customWidth="1"/>
    <col min="3" max="5" width="13.7265625" style="5" customWidth="1"/>
    <col min="6" max="6" width="14.54296875" style="8" bestFit="1" customWidth="1"/>
    <col min="7" max="7" width="6.7265625" style="8" customWidth="1"/>
    <col min="8" max="8" width="16.7265625" style="9" customWidth="1"/>
    <col min="9" max="9" width="14.7265625" style="9" customWidth="1"/>
    <col min="10" max="10" width="0.7265625" style="9" customWidth="1"/>
    <col min="11" max="11" width="21.26953125" style="10" bestFit="1" customWidth="1"/>
    <col min="12" max="15" width="12.7265625" style="11" customWidth="1"/>
    <col min="16" max="16" width="3.26953125" style="10" customWidth="1"/>
    <col min="17" max="17" width="9.26953125" style="10" hidden="1" customWidth="1"/>
    <col min="18" max="18" width="9.26953125" style="7" hidden="1" customWidth="1"/>
    <col min="19" max="19" width="12.26953125" style="7" hidden="1" customWidth="1"/>
    <col min="20" max="20" width="11.7265625" style="7" hidden="1" customWidth="1"/>
    <col min="21" max="21" width="12.26953125" style="7" hidden="1" customWidth="1"/>
    <col min="22" max="23" width="11.7265625" style="7" hidden="1" customWidth="1"/>
    <col min="24" max="16384" width="9.26953125" style="7" hidden="1"/>
  </cols>
  <sheetData>
    <row r="1" spans="1:20">
      <c r="B1" s="60" t="s">
        <v>98</v>
      </c>
    </row>
    <row r="2" spans="1:20">
      <c r="B2" s="61" t="s">
        <v>99</v>
      </c>
    </row>
    <row r="3" spans="1:20" ht="10.5" customHeight="1" thickBot="1">
      <c r="C3" s="6"/>
    </row>
    <row r="4" spans="1:20" ht="24" customHeight="1">
      <c r="B4" s="64" t="s">
        <v>97</v>
      </c>
      <c r="C4" s="71" t="s">
        <v>133</v>
      </c>
      <c r="D4" s="71"/>
      <c r="E4" s="72"/>
      <c r="F4" s="12"/>
      <c r="G4" s="12"/>
      <c r="H4" s="13"/>
      <c r="I4" s="14"/>
    </row>
    <row r="5" spans="1:20" ht="24" customHeight="1" thickBot="1">
      <c r="B5" s="65" t="s">
        <v>60</v>
      </c>
      <c r="C5" s="89" t="s">
        <v>132</v>
      </c>
      <c r="D5" s="73"/>
      <c r="E5" s="74"/>
      <c r="F5" s="12"/>
      <c r="G5" s="12"/>
      <c r="H5" s="5"/>
      <c r="I5" s="5"/>
    </row>
    <row r="6" spans="1:20" ht="4.9000000000000004" customHeight="1" thickBot="1">
      <c r="B6" s="7"/>
      <c r="F6" s="12"/>
      <c r="G6" s="12"/>
      <c r="H6" s="7"/>
      <c r="I6" s="7"/>
    </row>
    <row r="7" spans="1:20" ht="23.25" customHeight="1" thickBot="1">
      <c r="B7" s="66" t="s">
        <v>96</v>
      </c>
      <c r="C7" s="75">
        <v>4</v>
      </c>
      <c r="D7" s="75"/>
      <c r="E7" s="76"/>
      <c r="G7" s="12"/>
      <c r="H7" s="7"/>
      <c r="I7" s="7"/>
    </row>
    <row r="8" spans="1:20" s="10" customFormat="1" ht="4.9000000000000004" customHeight="1">
      <c r="A8" s="7"/>
      <c r="B8" s="7"/>
      <c r="C8" s="5"/>
      <c r="D8" s="5"/>
      <c r="E8" s="5"/>
      <c r="F8" s="12"/>
      <c r="G8" s="12"/>
      <c r="H8" s="7"/>
      <c r="I8" s="7"/>
      <c r="J8" s="9"/>
      <c r="L8" s="11"/>
      <c r="M8" s="11"/>
      <c r="N8" s="11"/>
      <c r="O8" s="11"/>
      <c r="R8" s="7"/>
      <c r="S8" s="7"/>
      <c r="T8" s="7"/>
    </row>
    <row r="9" spans="1:20" s="10" customFormat="1" ht="4.9000000000000004" customHeight="1" thickBot="1">
      <c r="A9" s="7"/>
      <c r="B9" s="7"/>
      <c r="C9" s="5"/>
      <c r="D9" s="5"/>
      <c r="E9" s="5"/>
      <c r="F9" s="12"/>
      <c r="G9" s="12"/>
      <c r="H9" s="7"/>
      <c r="I9" s="7"/>
      <c r="J9" s="9"/>
      <c r="L9" s="11"/>
      <c r="M9" s="11"/>
      <c r="N9" s="11"/>
      <c r="O9" s="11"/>
      <c r="R9" s="7"/>
      <c r="S9" s="7"/>
      <c r="T9" s="7"/>
    </row>
    <row r="10" spans="1:20" s="10" customFormat="1" ht="26.25" customHeight="1">
      <c r="A10" s="7"/>
      <c r="B10" s="64" t="s">
        <v>0</v>
      </c>
      <c r="C10" s="78" t="s">
        <v>41</v>
      </c>
      <c r="D10" s="79"/>
      <c r="E10" s="80"/>
      <c r="F10" s="12"/>
      <c r="G10" s="12"/>
      <c r="H10" s="7"/>
      <c r="I10" s="7"/>
      <c r="J10" s="9"/>
      <c r="L10" s="11"/>
      <c r="M10" s="11"/>
      <c r="N10" s="11"/>
      <c r="O10" s="11"/>
      <c r="R10" s="7"/>
      <c r="S10" s="7"/>
      <c r="T10" s="7"/>
    </row>
    <row r="11" spans="1:20" s="10" customFormat="1" ht="26.25" customHeight="1" thickBot="1">
      <c r="A11" s="7"/>
      <c r="B11" s="65" t="s">
        <v>1</v>
      </c>
      <c r="C11" s="81" t="str">
        <f>VLOOKUP(C10,LineActivity!$B$2:$C$19,2,FALSE)</f>
        <v>Line 02 CYANO BOTTLE FILLING</v>
      </c>
      <c r="D11" s="81"/>
      <c r="E11" s="82"/>
      <c r="F11" s="12"/>
      <c r="G11" s="12"/>
      <c r="H11" s="7"/>
      <c r="I11" s="7"/>
      <c r="J11" s="9"/>
      <c r="L11" s="11"/>
      <c r="M11" s="11"/>
      <c r="N11" s="11"/>
      <c r="O11" s="11"/>
      <c r="R11" s="7"/>
      <c r="S11" s="7"/>
      <c r="T11" s="7"/>
    </row>
    <row r="12" spans="1:20" s="10" customFormat="1" ht="4.9000000000000004" customHeight="1">
      <c r="A12" s="7"/>
      <c r="B12" s="7"/>
      <c r="C12" s="5"/>
      <c r="D12" s="5"/>
      <c r="E12" s="5"/>
      <c r="F12" s="12"/>
      <c r="G12" s="12"/>
      <c r="H12" s="7"/>
      <c r="I12" s="7"/>
      <c r="J12" s="9"/>
      <c r="L12" s="11"/>
      <c r="M12" s="11"/>
      <c r="N12" s="11"/>
      <c r="O12" s="11"/>
      <c r="R12" s="7"/>
      <c r="S12" s="7"/>
      <c r="T12" s="7"/>
    </row>
    <row r="13" spans="1:20" s="10" customFormat="1">
      <c r="A13" s="7"/>
      <c r="B13" s="7"/>
      <c r="C13" s="5"/>
      <c r="D13" s="5"/>
      <c r="E13" s="5"/>
      <c r="F13" s="15"/>
      <c r="G13" s="15"/>
      <c r="H13" s="15"/>
      <c r="I13" s="15"/>
      <c r="J13" s="9"/>
      <c r="K13" s="83" t="s">
        <v>64</v>
      </c>
      <c r="L13" s="83"/>
      <c r="M13" s="83"/>
      <c r="N13" s="83"/>
      <c r="O13" s="83"/>
      <c r="R13" s="7"/>
      <c r="S13" s="7"/>
      <c r="T13" s="7"/>
    </row>
    <row r="14" spans="1:20" s="10" customFormat="1" ht="46.5">
      <c r="A14" s="7"/>
      <c r="B14" s="23" t="s">
        <v>2</v>
      </c>
      <c r="C14" s="23" t="s">
        <v>3</v>
      </c>
      <c r="D14" s="23" t="s">
        <v>4</v>
      </c>
      <c r="E14" s="23" t="s">
        <v>5</v>
      </c>
      <c r="F14" s="84" t="s">
        <v>6</v>
      </c>
      <c r="G14" s="84"/>
      <c r="H14" s="24" t="s">
        <v>92</v>
      </c>
      <c r="I14" s="24" t="s">
        <v>93</v>
      </c>
      <c r="J14" s="9"/>
      <c r="K14" s="25" t="s">
        <v>7</v>
      </c>
      <c r="L14" s="26" t="s">
        <v>63</v>
      </c>
      <c r="M14" s="35" t="s">
        <v>65</v>
      </c>
      <c r="N14" s="27" t="s">
        <v>8</v>
      </c>
      <c r="O14" s="27" t="s">
        <v>9</v>
      </c>
      <c r="R14" s="7"/>
      <c r="S14" s="7"/>
      <c r="T14" s="7"/>
    </row>
    <row r="15" spans="1:20" s="10" customFormat="1">
      <c r="A15" s="7"/>
      <c r="B15" s="16"/>
      <c r="C15" s="16"/>
      <c r="D15" s="5"/>
      <c r="E15" s="5"/>
      <c r="F15" s="16"/>
      <c r="G15" s="7"/>
      <c r="H15" s="9"/>
      <c r="I15" s="16"/>
      <c r="J15" s="9"/>
      <c r="L15" s="11"/>
      <c r="M15" s="11"/>
      <c r="N15" s="11"/>
      <c r="O15" s="11"/>
      <c r="R15" s="7"/>
      <c r="S15" s="7"/>
      <c r="T15" s="7"/>
    </row>
    <row r="16" spans="1:20" s="10" customFormat="1" ht="15.5">
      <c r="A16" s="7"/>
      <c r="B16" s="87" t="s">
        <v>126</v>
      </c>
      <c r="C16" s="62">
        <v>1</v>
      </c>
      <c r="D16" s="62">
        <v>0</v>
      </c>
      <c r="E16" s="63">
        <f>8/60</f>
        <v>0.13333333333333333</v>
      </c>
      <c r="F16" s="55">
        <f t="shared" ref="F16:F26" si="0">ROUNDUP(E16/$C$7,5)</f>
        <v>3.3340000000000002E-2</v>
      </c>
      <c r="G16" s="56" t="s">
        <v>11</v>
      </c>
      <c r="H16" s="57">
        <f t="shared" ref="H16:H26" si="1">(C16*E16)</f>
        <v>0.13333333333333333</v>
      </c>
      <c r="I16" s="57">
        <f t="shared" ref="I16:I26" si="2">D16*E16</f>
        <v>0</v>
      </c>
      <c r="J16" s="9"/>
      <c r="K16" s="58" t="str">
        <f t="shared" ref="K16:K26" si="3">IF(B16="","",B16)</f>
        <v xml:space="preserve">UNBOXING </v>
      </c>
      <c r="L16" s="59">
        <f t="shared" ref="L16:L26" si="4">IFERROR(ROUNDUP(1/(ROUND((F16*C16),5)),0),"")</f>
        <v>30</v>
      </c>
      <c r="M16" s="59">
        <f t="shared" ref="M16:M26" si="5">IFERROR((ROUND((F16*C16),5)),"")</f>
        <v>3.3340000000000002E-2</v>
      </c>
      <c r="N16" s="59">
        <f>IFERROR(ROUND(F16,5),"")</f>
        <v>3.3340000000000002E-2</v>
      </c>
      <c r="O16" s="59">
        <f>IFERROR(ROUND(F16,5),"")</f>
        <v>3.3340000000000002E-2</v>
      </c>
      <c r="R16" s="7"/>
      <c r="S16" s="7"/>
      <c r="T16" s="7"/>
    </row>
    <row r="17" spans="1:20" s="10" customFormat="1" ht="15.5">
      <c r="A17" s="7"/>
      <c r="B17" s="87" t="s">
        <v>127</v>
      </c>
      <c r="C17" s="62">
        <v>1</v>
      </c>
      <c r="D17" s="62">
        <v>0</v>
      </c>
      <c r="E17" s="63">
        <f>2/60</f>
        <v>3.3333333333333333E-2</v>
      </c>
      <c r="F17" s="55">
        <f t="shared" si="0"/>
        <v>8.3400000000000002E-3</v>
      </c>
      <c r="G17" s="56" t="s">
        <v>11</v>
      </c>
      <c r="H17" s="57">
        <f t="shared" si="1"/>
        <v>3.3333333333333333E-2</v>
      </c>
      <c r="I17" s="57">
        <f t="shared" si="2"/>
        <v>0</v>
      </c>
      <c r="J17" s="9"/>
      <c r="K17" s="58" t="str">
        <f t="shared" si="3"/>
        <v>BATCH CODING</v>
      </c>
      <c r="L17" s="59">
        <f t="shared" si="4"/>
        <v>120</v>
      </c>
      <c r="M17" s="59">
        <f t="shared" si="5"/>
        <v>8.3400000000000002E-3</v>
      </c>
      <c r="N17" s="59">
        <f t="shared" ref="N17:N26" si="6">IFERROR(ROUND(F17,5),"")</f>
        <v>8.3400000000000002E-3</v>
      </c>
      <c r="O17" s="59">
        <f t="shared" ref="O17:O26" si="7">IFERROR(ROUND(F17,5),"")</f>
        <v>8.3400000000000002E-3</v>
      </c>
      <c r="R17" s="7"/>
      <c r="S17" s="7"/>
      <c r="T17" s="7"/>
    </row>
    <row r="18" spans="1:20" s="10" customFormat="1" ht="15.5">
      <c r="A18" s="7"/>
      <c r="B18" s="87" t="s">
        <v>130</v>
      </c>
      <c r="C18" s="62">
        <v>1</v>
      </c>
      <c r="D18" s="62">
        <v>0</v>
      </c>
      <c r="E18" s="63">
        <f>10/60</f>
        <v>0.16666666666666666</v>
      </c>
      <c r="F18" s="55">
        <f t="shared" si="0"/>
        <v>4.1670000000000006E-2</v>
      </c>
      <c r="G18" s="56" t="s">
        <v>11</v>
      </c>
      <c r="H18" s="57">
        <f t="shared" si="1"/>
        <v>0.16666666666666666</v>
      </c>
      <c r="I18" s="57">
        <f t="shared" si="2"/>
        <v>0</v>
      </c>
      <c r="J18" s="9"/>
      <c r="K18" s="58" t="str">
        <f t="shared" si="3"/>
        <v>PLACING OF CODED PAIL STICKER LABEL</v>
      </c>
      <c r="L18" s="59">
        <f t="shared" si="4"/>
        <v>24</v>
      </c>
      <c r="M18" s="59">
        <f t="shared" si="5"/>
        <v>4.1669999999999999E-2</v>
      </c>
      <c r="N18" s="59">
        <f t="shared" si="6"/>
        <v>4.1669999999999999E-2</v>
      </c>
      <c r="O18" s="59">
        <f t="shared" si="7"/>
        <v>4.1669999999999999E-2</v>
      </c>
      <c r="R18" s="7"/>
      <c r="S18" s="7"/>
      <c r="T18" s="7"/>
    </row>
    <row r="19" spans="1:20" s="10" customFormat="1" ht="15.5">
      <c r="A19" s="7"/>
      <c r="B19" s="87" t="s">
        <v>128</v>
      </c>
      <c r="C19" s="62">
        <v>1</v>
      </c>
      <c r="D19" s="62">
        <v>0</v>
      </c>
      <c r="E19" s="63">
        <f>8/60+3/60</f>
        <v>0.18333333333333335</v>
      </c>
      <c r="F19" s="55">
        <f t="shared" si="0"/>
        <v>4.5840000000000006E-2</v>
      </c>
      <c r="G19" s="56" t="s">
        <v>11</v>
      </c>
      <c r="H19" s="57">
        <f t="shared" si="1"/>
        <v>0.18333333333333335</v>
      </c>
      <c r="I19" s="57">
        <f t="shared" si="2"/>
        <v>0</v>
      </c>
      <c r="J19" s="9"/>
      <c r="K19" s="58" t="str">
        <f t="shared" si="3"/>
        <v>REBOXING</v>
      </c>
      <c r="L19" s="59">
        <f t="shared" si="4"/>
        <v>22</v>
      </c>
      <c r="M19" s="59">
        <f t="shared" si="5"/>
        <v>4.5839999999999999E-2</v>
      </c>
      <c r="N19" s="59">
        <f t="shared" si="6"/>
        <v>4.5839999999999999E-2</v>
      </c>
      <c r="O19" s="59">
        <f t="shared" si="7"/>
        <v>4.5839999999999999E-2</v>
      </c>
      <c r="R19" s="7"/>
      <c r="S19" s="7"/>
      <c r="T19" s="7"/>
    </row>
    <row r="20" spans="1:20" s="10" customFormat="1" ht="43.5">
      <c r="A20" s="7"/>
      <c r="B20" s="88" t="s">
        <v>131</v>
      </c>
      <c r="C20" s="62">
        <v>1</v>
      </c>
      <c r="D20" s="62">
        <v>0</v>
      </c>
      <c r="E20" s="63">
        <f>6/60</f>
        <v>0.1</v>
      </c>
      <c r="F20" s="55">
        <f t="shared" si="0"/>
        <v>2.5000000000000001E-2</v>
      </c>
      <c r="G20" s="56" t="s">
        <v>11</v>
      </c>
      <c r="H20" s="57">
        <f t="shared" si="1"/>
        <v>0.1</v>
      </c>
      <c r="I20" s="57">
        <f t="shared" si="2"/>
        <v>0</v>
      </c>
      <c r="J20" s="9"/>
      <c r="K20" s="90" t="str">
        <f t="shared" si="3"/>
        <v>PUTTING TEMPORARY BOX LABEL (PRINTED STICKER LABEL)</v>
      </c>
      <c r="L20" s="59">
        <f t="shared" si="4"/>
        <v>40</v>
      </c>
      <c r="M20" s="59">
        <f t="shared" si="5"/>
        <v>2.5000000000000001E-2</v>
      </c>
      <c r="N20" s="59">
        <f t="shared" si="6"/>
        <v>2.5000000000000001E-2</v>
      </c>
      <c r="O20" s="59">
        <f t="shared" si="7"/>
        <v>2.5000000000000001E-2</v>
      </c>
      <c r="R20" s="7"/>
      <c r="S20" s="7"/>
      <c r="T20" s="7"/>
    </row>
    <row r="21" spans="1:20" s="10" customFormat="1" ht="15.5">
      <c r="A21" s="7"/>
      <c r="B21" s="87" t="s">
        <v>129</v>
      </c>
      <c r="C21" s="62">
        <v>1</v>
      </c>
      <c r="D21" s="62">
        <v>0</v>
      </c>
      <c r="E21" s="63">
        <f>4/60</f>
        <v>6.6666666666666666E-2</v>
      </c>
      <c r="F21" s="55">
        <f t="shared" si="0"/>
        <v>1.6670000000000001E-2</v>
      </c>
      <c r="G21" s="56" t="s">
        <v>11</v>
      </c>
      <c r="H21" s="57">
        <f t="shared" si="1"/>
        <v>6.6666666666666666E-2</v>
      </c>
      <c r="I21" s="57">
        <f t="shared" si="2"/>
        <v>0</v>
      </c>
      <c r="J21" s="9"/>
      <c r="K21" s="58" t="str">
        <f t="shared" si="3"/>
        <v>PLACING OF QR CODE ON THE BOXES</v>
      </c>
      <c r="L21" s="59">
        <f t="shared" si="4"/>
        <v>60</v>
      </c>
      <c r="M21" s="59">
        <f t="shared" si="5"/>
        <v>1.6670000000000001E-2</v>
      </c>
      <c r="N21" s="59">
        <f t="shared" si="6"/>
        <v>1.6670000000000001E-2</v>
      </c>
      <c r="O21" s="59">
        <f t="shared" si="7"/>
        <v>1.6670000000000001E-2</v>
      </c>
      <c r="R21" s="7"/>
      <c r="S21" s="7"/>
      <c r="T21" s="7"/>
    </row>
    <row r="22" spans="1:20" s="10" customFormat="1" ht="15.5">
      <c r="A22" s="7"/>
      <c r="B22" s="22"/>
      <c r="C22" s="62"/>
      <c r="D22" s="62"/>
      <c r="E22" s="63"/>
      <c r="F22" s="55">
        <f t="shared" si="0"/>
        <v>0</v>
      </c>
      <c r="G22" s="56" t="s">
        <v>11</v>
      </c>
      <c r="H22" s="57">
        <f t="shared" si="1"/>
        <v>0</v>
      </c>
      <c r="I22" s="57">
        <f t="shared" si="2"/>
        <v>0</v>
      </c>
      <c r="J22" s="9"/>
      <c r="K22" s="58" t="str">
        <f t="shared" si="3"/>
        <v/>
      </c>
      <c r="L22" s="59" t="str">
        <f t="shared" si="4"/>
        <v/>
      </c>
      <c r="M22" s="59">
        <f t="shared" si="5"/>
        <v>0</v>
      </c>
      <c r="N22" s="59">
        <f t="shared" si="6"/>
        <v>0</v>
      </c>
      <c r="O22" s="59">
        <f t="shared" si="7"/>
        <v>0</v>
      </c>
      <c r="R22" s="7"/>
      <c r="S22" s="7"/>
      <c r="T22" s="7"/>
    </row>
    <row r="23" spans="1:20" s="10" customFormat="1" ht="15.5">
      <c r="A23" s="7"/>
      <c r="B23" s="22"/>
      <c r="C23" s="62"/>
      <c r="D23" s="62"/>
      <c r="E23" s="63"/>
      <c r="F23" s="55">
        <f t="shared" si="0"/>
        <v>0</v>
      </c>
      <c r="G23" s="56" t="s">
        <v>11</v>
      </c>
      <c r="H23" s="57"/>
      <c r="I23" s="57"/>
      <c r="J23" s="9"/>
      <c r="K23" s="58"/>
      <c r="L23" s="59"/>
      <c r="M23" s="59"/>
      <c r="N23" s="59"/>
      <c r="O23" s="59"/>
      <c r="R23" s="7"/>
      <c r="S23" s="7"/>
      <c r="T23" s="7"/>
    </row>
    <row r="24" spans="1:20" s="10" customFormat="1" ht="15.5">
      <c r="A24" s="7"/>
      <c r="B24" s="22"/>
      <c r="C24" s="62"/>
      <c r="D24" s="62"/>
      <c r="E24" s="63"/>
      <c r="F24" s="55">
        <f t="shared" si="0"/>
        <v>0</v>
      </c>
      <c r="G24" s="56" t="s">
        <v>11</v>
      </c>
      <c r="H24" s="57">
        <f t="shared" si="1"/>
        <v>0</v>
      </c>
      <c r="I24" s="57">
        <f t="shared" si="2"/>
        <v>0</v>
      </c>
      <c r="J24" s="9"/>
      <c r="K24" s="58" t="str">
        <f t="shared" si="3"/>
        <v/>
      </c>
      <c r="L24" s="59" t="str">
        <f t="shared" si="4"/>
        <v/>
      </c>
      <c r="M24" s="59">
        <f t="shared" si="5"/>
        <v>0</v>
      </c>
      <c r="N24" s="59">
        <f t="shared" si="6"/>
        <v>0</v>
      </c>
      <c r="O24" s="59">
        <f t="shared" si="7"/>
        <v>0</v>
      </c>
      <c r="R24" s="7"/>
      <c r="S24" s="7"/>
      <c r="T24" s="7"/>
    </row>
    <row r="25" spans="1:20" s="10" customFormat="1" ht="15.5">
      <c r="A25" s="7"/>
      <c r="B25" s="22"/>
      <c r="C25" s="62"/>
      <c r="D25" s="62"/>
      <c r="E25" s="63"/>
      <c r="F25" s="55">
        <f t="shared" si="0"/>
        <v>0</v>
      </c>
      <c r="G25" s="56" t="s">
        <v>11</v>
      </c>
      <c r="H25" s="57">
        <f t="shared" si="1"/>
        <v>0</v>
      </c>
      <c r="I25" s="57">
        <f t="shared" si="2"/>
        <v>0</v>
      </c>
      <c r="J25" s="9"/>
      <c r="K25" s="58" t="str">
        <f t="shared" si="3"/>
        <v/>
      </c>
      <c r="L25" s="59" t="str">
        <f t="shared" si="4"/>
        <v/>
      </c>
      <c r="M25" s="59">
        <f t="shared" si="5"/>
        <v>0</v>
      </c>
      <c r="N25" s="59">
        <f t="shared" si="6"/>
        <v>0</v>
      </c>
      <c r="O25" s="59">
        <f t="shared" si="7"/>
        <v>0</v>
      </c>
      <c r="R25" s="7"/>
      <c r="S25" s="7"/>
      <c r="T25" s="7"/>
    </row>
    <row r="26" spans="1:20" s="10" customFormat="1" ht="15.5">
      <c r="A26" s="7"/>
      <c r="B26" s="22"/>
      <c r="C26" s="62"/>
      <c r="D26" s="62"/>
      <c r="E26" s="63"/>
      <c r="F26" s="55">
        <f t="shared" si="0"/>
        <v>0</v>
      </c>
      <c r="G26" s="56" t="s">
        <v>11</v>
      </c>
      <c r="H26" s="57">
        <f t="shared" si="1"/>
        <v>0</v>
      </c>
      <c r="I26" s="57">
        <f t="shared" si="2"/>
        <v>0</v>
      </c>
      <c r="J26" s="9"/>
      <c r="K26" s="58" t="str">
        <f t="shared" si="3"/>
        <v/>
      </c>
      <c r="L26" s="59" t="str">
        <f t="shared" si="4"/>
        <v/>
      </c>
      <c r="M26" s="59">
        <f t="shared" si="5"/>
        <v>0</v>
      </c>
      <c r="N26" s="59">
        <f t="shared" si="6"/>
        <v>0</v>
      </c>
      <c r="O26" s="59">
        <f t="shared" si="7"/>
        <v>0</v>
      </c>
      <c r="R26" s="7"/>
      <c r="S26" s="7"/>
      <c r="T26" s="7"/>
    </row>
    <row r="27" spans="1:20" s="10" customFormat="1" ht="7.5" customHeight="1">
      <c r="A27" s="7"/>
      <c r="B27" s="5"/>
      <c r="C27" s="5"/>
      <c r="D27" s="5"/>
      <c r="E27" s="5"/>
      <c r="F27" s="12"/>
      <c r="G27" s="12"/>
      <c r="H27" s="7"/>
      <c r="I27" s="7"/>
      <c r="J27" s="9"/>
      <c r="K27" s="28"/>
      <c r="L27" s="29"/>
      <c r="M27" s="29"/>
      <c r="N27" s="29"/>
      <c r="O27" s="29"/>
      <c r="R27" s="7"/>
      <c r="S27" s="7"/>
      <c r="T27" s="7"/>
    </row>
    <row r="28" spans="1:20" s="10" customFormat="1" ht="18.5">
      <c r="A28" s="7"/>
      <c r="B28" s="31" t="s">
        <v>12</v>
      </c>
      <c r="C28" s="32"/>
      <c r="D28" s="32"/>
      <c r="E28" s="32"/>
      <c r="F28" s="34">
        <f>SUM(F16:F27)</f>
        <v>0.17086000000000001</v>
      </c>
      <c r="G28" s="33"/>
      <c r="H28" s="34">
        <f>SUM(H16:H27)</f>
        <v>0.68333333333333324</v>
      </c>
      <c r="I28" s="34">
        <f>SUM(I16:I27)</f>
        <v>0</v>
      </c>
      <c r="J28" s="9"/>
      <c r="K28" s="30"/>
      <c r="L28" s="30">
        <f>SUM(L16:L27)</f>
        <v>296</v>
      </c>
      <c r="M28" s="30"/>
      <c r="N28" s="30">
        <f>SUM(N16:N27)</f>
        <v>0.17085999999999998</v>
      </c>
      <c r="O28" s="30">
        <f>SUM(O16:O27)</f>
        <v>0.17085999999999998</v>
      </c>
      <c r="R28" s="7"/>
      <c r="S28" s="7"/>
      <c r="T28" s="7"/>
    </row>
    <row r="29" spans="1:20" s="10" customFormat="1">
      <c r="A29" s="7"/>
      <c r="B29" s="86"/>
      <c r="C29" s="86"/>
      <c r="D29" s="86"/>
      <c r="E29" s="86"/>
      <c r="F29" s="86"/>
      <c r="G29" s="86"/>
      <c r="H29" s="86"/>
      <c r="I29" s="86"/>
      <c r="J29" s="9"/>
      <c r="L29" s="11"/>
      <c r="M29" s="11"/>
      <c r="N29" s="11"/>
      <c r="O29" s="11"/>
      <c r="R29" s="7"/>
      <c r="S29" s="7"/>
      <c r="T29" s="7"/>
    </row>
    <row r="30" spans="1:20" s="10" customFormat="1">
      <c r="A30" s="7"/>
      <c r="B30" s="16"/>
      <c r="C30" s="16"/>
      <c r="D30" s="5"/>
      <c r="E30" s="5"/>
      <c r="F30" s="16"/>
      <c r="G30" s="7"/>
      <c r="H30" s="9"/>
      <c r="I30" s="16"/>
      <c r="J30" s="9"/>
      <c r="L30" s="11"/>
      <c r="M30" s="11"/>
      <c r="N30" s="11"/>
      <c r="O30" s="11"/>
      <c r="R30" s="7"/>
      <c r="S30" s="7"/>
      <c r="T30" s="7"/>
    </row>
    <row r="31" spans="1:20" s="10" customFormat="1">
      <c r="A31" s="7"/>
      <c r="B31" s="16"/>
      <c r="C31" s="16"/>
      <c r="D31" s="16"/>
      <c r="E31" s="16"/>
      <c r="F31" s="16"/>
      <c r="G31" s="16"/>
      <c r="H31" s="16"/>
      <c r="I31" s="16"/>
      <c r="J31" s="9"/>
      <c r="L31" s="11"/>
      <c r="M31" s="11"/>
      <c r="N31" s="11"/>
      <c r="O31" s="11"/>
      <c r="R31" s="7"/>
      <c r="S31" s="7"/>
      <c r="T31" s="7"/>
    </row>
    <row r="32" spans="1:20" s="10" customFormat="1">
      <c r="A32" s="7"/>
      <c r="B32" s="16"/>
      <c r="C32" s="18"/>
      <c r="D32" s="18"/>
      <c r="E32" s="18"/>
      <c r="F32" s="18"/>
      <c r="G32" s="18"/>
      <c r="H32" s="19"/>
      <c r="I32" s="18"/>
      <c r="J32" s="9"/>
      <c r="L32" s="11"/>
      <c r="M32" s="11"/>
      <c r="N32" s="11"/>
      <c r="O32" s="11"/>
      <c r="R32" s="7"/>
      <c r="S32" s="7"/>
      <c r="T32" s="7"/>
    </row>
    <row r="33" spans="1:20" s="10" customFormat="1">
      <c r="A33" s="7"/>
      <c r="B33" s="16"/>
      <c r="C33" s="16"/>
      <c r="D33" s="5"/>
      <c r="E33" s="5"/>
      <c r="F33" s="16"/>
      <c r="G33" s="7"/>
      <c r="H33" s="9"/>
      <c r="I33" s="16"/>
      <c r="J33" s="9"/>
      <c r="L33" s="11"/>
      <c r="M33" s="11"/>
      <c r="N33" s="11"/>
      <c r="O33" s="11"/>
      <c r="R33" s="7"/>
      <c r="S33" s="7"/>
      <c r="T33" s="7"/>
    </row>
    <row r="34" spans="1:20" s="10" customFormat="1">
      <c r="A34" s="7"/>
      <c r="B34" s="16"/>
      <c r="C34" s="16"/>
      <c r="D34" s="5"/>
      <c r="E34" s="5"/>
      <c r="F34" s="16"/>
      <c r="G34" s="7"/>
      <c r="H34" s="9"/>
      <c r="I34" s="16"/>
      <c r="J34" s="9"/>
      <c r="L34" s="11"/>
      <c r="M34" s="11"/>
      <c r="N34" s="11"/>
      <c r="O34" s="11"/>
      <c r="R34" s="7"/>
      <c r="S34" s="7"/>
      <c r="T34" s="7"/>
    </row>
    <row r="35" spans="1:20" s="10" customFormat="1">
      <c r="A35" s="7"/>
      <c r="B35" s="16"/>
      <c r="C35" s="16"/>
      <c r="D35" s="5"/>
      <c r="E35" s="5"/>
      <c r="F35" s="16"/>
      <c r="G35" s="7"/>
      <c r="H35" s="9"/>
      <c r="I35" s="16"/>
      <c r="J35" s="9"/>
      <c r="L35" s="11"/>
      <c r="M35" s="11"/>
      <c r="N35" s="11"/>
      <c r="O35" s="11"/>
      <c r="R35" s="7"/>
      <c r="S35" s="7"/>
      <c r="T35" s="7"/>
    </row>
    <row r="36" spans="1:20" s="10" customFormat="1">
      <c r="A36" s="7"/>
      <c r="B36" s="85"/>
      <c r="C36" s="16"/>
      <c r="D36" s="5"/>
      <c r="E36" s="5"/>
      <c r="F36" s="16"/>
      <c r="G36" s="7"/>
      <c r="H36" s="9"/>
      <c r="I36" s="16"/>
      <c r="J36" s="9"/>
      <c r="L36" s="11"/>
      <c r="M36" s="11"/>
      <c r="N36" s="11"/>
      <c r="O36" s="11"/>
      <c r="R36" s="7"/>
      <c r="S36" s="7"/>
      <c r="T36" s="7"/>
    </row>
    <row r="37" spans="1:20" s="10" customFormat="1">
      <c r="A37" s="7"/>
      <c r="B37" s="16" t="s">
        <v>57</v>
      </c>
      <c r="C37" s="16"/>
      <c r="D37" s="5"/>
      <c r="E37" s="5"/>
      <c r="F37" s="16"/>
      <c r="G37" s="7"/>
      <c r="H37" s="9"/>
      <c r="I37" s="16" t="s">
        <v>59</v>
      </c>
      <c r="J37" s="9"/>
      <c r="L37" s="11"/>
      <c r="M37" s="11"/>
      <c r="N37" s="11"/>
      <c r="O37" s="11"/>
      <c r="R37" s="7"/>
      <c r="S37" s="7"/>
      <c r="T37" s="7"/>
    </row>
    <row r="38" spans="1:20" s="10" customFormat="1">
      <c r="A38" s="7"/>
      <c r="B38" s="7"/>
      <c r="C38" s="7"/>
      <c r="D38" s="5"/>
      <c r="E38" s="5"/>
      <c r="F38" s="7"/>
      <c r="G38" s="7"/>
      <c r="H38" s="9"/>
      <c r="I38" s="7"/>
      <c r="J38" s="9"/>
      <c r="L38" s="11"/>
      <c r="M38" s="11"/>
      <c r="N38" s="11"/>
      <c r="O38" s="11"/>
      <c r="R38" s="7"/>
      <c r="S38" s="7"/>
      <c r="T38" s="7"/>
    </row>
    <row r="39" spans="1:20" s="10" customFormat="1">
      <c r="A39" s="7"/>
      <c r="B39" s="7"/>
      <c r="C39" s="7"/>
      <c r="D39" s="5"/>
      <c r="E39" s="5"/>
      <c r="F39" s="7"/>
      <c r="G39" s="7"/>
      <c r="H39" s="9"/>
      <c r="I39" s="7"/>
      <c r="J39" s="9"/>
      <c r="L39" s="11"/>
      <c r="M39" s="11"/>
      <c r="N39" s="11"/>
      <c r="O39" s="11"/>
      <c r="R39" s="7"/>
      <c r="S39" s="7"/>
      <c r="T39" s="7"/>
    </row>
    <row r="40" spans="1:20" s="10" customFormat="1">
      <c r="A40" s="7"/>
      <c r="B40" s="20"/>
      <c r="C40" s="20"/>
      <c r="D40" s="5"/>
      <c r="E40" s="5"/>
      <c r="F40" s="16"/>
      <c r="G40" s="7"/>
      <c r="H40" s="9"/>
      <c r="I40" s="20"/>
      <c r="J40" s="9"/>
      <c r="L40" s="11"/>
      <c r="M40" s="11"/>
      <c r="N40" s="11"/>
      <c r="O40" s="11"/>
      <c r="R40" s="7"/>
      <c r="S40" s="7"/>
      <c r="T40" s="7"/>
    </row>
    <row r="41" spans="1:20" s="9" customFormat="1">
      <c r="A41" s="7"/>
      <c r="B41" s="21" t="s">
        <v>58</v>
      </c>
      <c r="C41" s="7"/>
      <c r="D41" s="5"/>
      <c r="E41" s="5"/>
      <c r="F41" s="7"/>
      <c r="G41" s="7"/>
      <c r="I41" s="7" t="s">
        <v>13</v>
      </c>
      <c r="K41" s="10"/>
      <c r="L41" s="11"/>
      <c r="M41" s="11"/>
      <c r="N41" s="11"/>
      <c r="O41" s="11"/>
      <c r="P41" s="10"/>
      <c r="Q41" s="10"/>
      <c r="R41" s="7"/>
      <c r="S41" s="7"/>
      <c r="T41" s="7"/>
    </row>
    <row r="42" spans="1:20" s="9" customFormat="1">
      <c r="A42" s="7"/>
      <c r="B42" s="16"/>
      <c r="C42" s="7"/>
      <c r="D42" s="7"/>
      <c r="E42" s="5"/>
      <c r="K42" s="10"/>
      <c r="L42" s="11"/>
      <c r="M42" s="11"/>
      <c r="N42" s="11"/>
      <c r="O42" s="11"/>
      <c r="P42" s="10"/>
      <c r="Q42" s="10"/>
      <c r="R42" s="7"/>
      <c r="S42" s="7"/>
      <c r="T42" s="7"/>
    </row>
    <row r="43" spans="1:20" s="9" customFormat="1">
      <c r="A43" s="7"/>
      <c r="B43" s="7"/>
      <c r="C43" s="7"/>
      <c r="D43" s="7"/>
      <c r="E43" s="5"/>
      <c r="K43" s="10"/>
      <c r="L43" s="11"/>
      <c r="M43" s="11"/>
      <c r="N43" s="11"/>
      <c r="O43" s="11"/>
      <c r="P43" s="10"/>
      <c r="Q43" s="10"/>
      <c r="R43" s="7"/>
      <c r="S43" s="7"/>
      <c r="T43" s="7"/>
    </row>
    <row r="44" spans="1:20" s="9" customFormat="1">
      <c r="A44" s="7"/>
      <c r="B44" s="5"/>
      <c r="C44" s="5"/>
      <c r="D44" s="7"/>
      <c r="E44" s="5"/>
      <c r="K44" s="10"/>
      <c r="L44" s="11"/>
      <c r="M44" s="11"/>
      <c r="N44" s="11"/>
      <c r="O44" s="11"/>
      <c r="P44" s="10"/>
      <c r="Q44" s="10"/>
      <c r="R44" s="7"/>
      <c r="S44" s="7"/>
      <c r="T44" s="7"/>
    </row>
    <row r="45" spans="1:20" s="9" customFormat="1">
      <c r="A45" s="7"/>
      <c r="B45" s="7"/>
      <c r="C45" s="7"/>
      <c r="D45" s="7"/>
      <c r="E45" s="7"/>
      <c r="F45" s="7"/>
      <c r="G45" s="7"/>
      <c r="K45" s="10"/>
      <c r="L45" s="11"/>
      <c r="M45" s="11"/>
      <c r="N45" s="11"/>
      <c r="O45" s="11"/>
      <c r="P45" s="10"/>
      <c r="Q45" s="10"/>
      <c r="R45" s="7"/>
      <c r="S45" s="7"/>
      <c r="T45" s="7"/>
    </row>
    <row r="46" spans="1:20" s="9" customFormat="1">
      <c r="A46" s="7"/>
      <c r="B46" s="7"/>
      <c r="C46" s="7"/>
      <c r="D46" s="7"/>
      <c r="E46" s="7"/>
      <c r="F46" s="7"/>
      <c r="G46" s="7"/>
      <c r="K46" s="10"/>
      <c r="L46" s="11"/>
      <c r="M46" s="11"/>
      <c r="N46" s="11"/>
      <c r="O46" s="11"/>
      <c r="P46" s="10"/>
      <c r="Q46" s="10"/>
      <c r="R46" s="7"/>
      <c r="S46" s="7"/>
      <c r="T46" s="7"/>
    </row>
    <row r="47" spans="1:20" s="9" customFormat="1">
      <c r="A47" s="7"/>
      <c r="B47" s="7"/>
      <c r="C47" s="7"/>
      <c r="D47" s="7"/>
      <c r="E47" s="7"/>
      <c r="F47" s="7"/>
      <c r="G47" s="7"/>
      <c r="K47" s="10"/>
      <c r="L47" s="11"/>
      <c r="M47" s="11"/>
      <c r="N47" s="11"/>
      <c r="O47" s="11"/>
      <c r="P47" s="10"/>
      <c r="Q47" s="10"/>
      <c r="R47" s="7"/>
      <c r="S47" s="7"/>
      <c r="T47" s="7"/>
    </row>
    <row r="48" spans="1:20" s="9" customFormat="1">
      <c r="A48" s="7"/>
      <c r="B48" s="7"/>
      <c r="C48" s="7"/>
      <c r="D48" s="7"/>
      <c r="E48" s="7"/>
      <c r="F48" s="7"/>
      <c r="G48" s="7"/>
      <c r="K48" s="10"/>
      <c r="L48" s="11"/>
      <c r="M48" s="11"/>
      <c r="N48" s="11"/>
      <c r="O48" s="11"/>
      <c r="P48" s="10"/>
      <c r="Q48" s="10"/>
      <c r="R48" s="7"/>
      <c r="S48" s="7"/>
      <c r="T48" s="7"/>
    </row>
    <row r="49" spans="1:20" s="9" customFormat="1">
      <c r="A49" s="7"/>
      <c r="B49" s="7"/>
      <c r="C49" s="7"/>
      <c r="D49" s="7"/>
      <c r="E49" s="7"/>
      <c r="F49" s="7"/>
      <c r="G49" s="7"/>
      <c r="K49" s="10"/>
      <c r="L49" s="11"/>
      <c r="M49" s="11"/>
      <c r="N49" s="11"/>
      <c r="O49" s="11"/>
      <c r="P49" s="10"/>
      <c r="Q49" s="10"/>
      <c r="R49" s="7"/>
      <c r="S49" s="7"/>
      <c r="T49" s="7"/>
    </row>
    <row r="50" spans="1:20" s="9" customFormat="1">
      <c r="A50" s="7"/>
      <c r="B50" s="7"/>
      <c r="C50" s="7"/>
      <c r="D50" s="7"/>
      <c r="E50" s="7"/>
      <c r="F50" s="7"/>
      <c r="G50" s="7"/>
      <c r="K50" s="10"/>
      <c r="L50" s="11"/>
      <c r="M50" s="11"/>
      <c r="N50" s="11"/>
      <c r="O50" s="11"/>
      <c r="P50" s="10"/>
      <c r="Q50" s="10"/>
      <c r="R50" s="7"/>
      <c r="S50" s="7"/>
      <c r="T50" s="7"/>
    </row>
    <row r="51" spans="1:20" s="9" customFormat="1">
      <c r="A51" s="7"/>
      <c r="B51" s="7"/>
      <c r="C51" s="7"/>
      <c r="D51" s="7"/>
      <c r="E51" s="7"/>
      <c r="F51" s="7"/>
      <c r="G51" s="7"/>
      <c r="K51" s="10"/>
      <c r="L51" s="11"/>
      <c r="M51" s="11"/>
      <c r="N51" s="11"/>
      <c r="O51" s="11"/>
      <c r="P51" s="10"/>
      <c r="Q51" s="10"/>
      <c r="R51" s="7"/>
      <c r="S51" s="7"/>
      <c r="T51" s="7"/>
    </row>
    <row r="52" spans="1:20" s="9" customFormat="1">
      <c r="A52" s="7"/>
      <c r="B52" s="7"/>
      <c r="C52" s="7"/>
      <c r="D52" s="7"/>
      <c r="E52" s="7"/>
      <c r="F52" s="7"/>
      <c r="G52" s="7"/>
      <c r="K52" s="10"/>
      <c r="L52" s="11"/>
      <c r="M52" s="11"/>
      <c r="N52" s="11"/>
      <c r="O52" s="11"/>
      <c r="P52" s="10"/>
      <c r="Q52" s="10"/>
      <c r="R52" s="7"/>
      <c r="S52" s="7"/>
      <c r="T52" s="7"/>
    </row>
    <row r="53" spans="1:20" s="9" customFormat="1">
      <c r="A53" s="7"/>
      <c r="B53" s="7"/>
      <c r="C53" s="7"/>
      <c r="D53" s="7"/>
      <c r="E53" s="7"/>
      <c r="F53" s="7"/>
      <c r="G53" s="7"/>
      <c r="K53" s="10"/>
      <c r="L53" s="11"/>
      <c r="M53" s="11"/>
      <c r="N53" s="11"/>
      <c r="O53" s="11"/>
      <c r="P53" s="10"/>
      <c r="Q53" s="10"/>
      <c r="R53" s="7"/>
      <c r="S53" s="7"/>
      <c r="T53" s="7"/>
    </row>
    <row r="54" spans="1:20" s="9" customFormat="1">
      <c r="A54" s="7"/>
      <c r="B54" s="7"/>
      <c r="C54" s="7"/>
      <c r="D54" s="7"/>
      <c r="E54" s="7"/>
      <c r="F54" s="7"/>
      <c r="G54" s="7"/>
      <c r="K54" s="10"/>
      <c r="L54" s="11"/>
      <c r="M54" s="11"/>
      <c r="N54" s="11"/>
      <c r="O54" s="11"/>
      <c r="P54" s="10"/>
      <c r="Q54" s="10"/>
      <c r="R54" s="7"/>
      <c r="S54" s="7"/>
      <c r="T54" s="7"/>
    </row>
    <row r="55" spans="1:20" s="9" customFormat="1">
      <c r="A55" s="7"/>
      <c r="B55" s="7"/>
      <c r="C55" s="7"/>
      <c r="D55" s="7"/>
      <c r="E55" s="7"/>
      <c r="F55" s="7"/>
      <c r="G55" s="7"/>
      <c r="K55" s="10"/>
      <c r="L55" s="11"/>
      <c r="M55" s="11"/>
      <c r="N55" s="11"/>
      <c r="O55" s="11"/>
      <c r="P55" s="10"/>
      <c r="Q55" s="10"/>
      <c r="R55" s="7"/>
      <c r="S55" s="7"/>
      <c r="T55" s="7"/>
    </row>
    <row r="56" spans="1:20" s="9" customFormat="1">
      <c r="A56" s="7"/>
      <c r="B56" s="7"/>
      <c r="C56" s="7"/>
      <c r="D56" s="7"/>
      <c r="E56" s="7"/>
      <c r="F56" s="7"/>
      <c r="G56" s="7"/>
      <c r="K56" s="10"/>
      <c r="L56" s="11"/>
      <c r="M56" s="11"/>
      <c r="N56" s="11"/>
      <c r="O56" s="11"/>
      <c r="P56" s="10"/>
      <c r="Q56" s="10"/>
      <c r="R56" s="7"/>
      <c r="S56" s="7"/>
      <c r="T56" s="7"/>
    </row>
    <row r="57" spans="1:20" s="9" customFormat="1">
      <c r="A57" s="7"/>
      <c r="B57" s="7"/>
      <c r="C57" s="7"/>
      <c r="D57" s="7"/>
      <c r="E57" s="7"/>
      <c r="F57" s="7"/>
      <c r="G57" s="7"/>
      <c r="K57" s="10"/>
      <c r="L57" s="11"/>
      <c r="M57" s="11"/>
      <c r="N57" s="11"/>
      <c r="O57" s="11"/>
      <c r="P57" s="10"/>
      <c r="Q57" s="10"/>
      <c r="R57" s="7"/>
      <c r="S57" s="7"/>
      <c r="T57" s="7"/>
    </row>
    <row r="58" spans="1:20" s="9" customFormat="1">
      <c r="A58" s="7"/>
      <c r="B58" s="7"/>
      <c r="C58" s="7"/>
      <c r="D58" s="7"/>
      <c r="E58" s="7"/>
      <c r="F58" s="7"/>
      <c r="G58" s="7"/>
      <c r="K58" s="10"/>
      <c r="L58" s="11"/>
      <c r="M58" s="11"/>
      <c r="N58" s="11"/>
      <c r="O58" s="11"/>
      <c r="P58" s="10"/>
      <c r="Q58" s="10"/>
      <c r="R58" s="7"/>
      <c r="S58" s="7"/>
      <c r="T58" s="7"/>
    </row>
    <row r="59" spans="1:20" s="9" customFormat="1">
      <c r="A59" s="7"/>
      <c r="B59" s="7"/>
      <c r="C59" s="7"/>
      <c r="D59" s="7"/>
      <c r="E59" s="7"/>
      <c r="F59" s="7"/>
      <c r="G59" s="7"/>
      <c r="K59" s="10"/>
      <c r="L59" s="11"/>
      <c r="M59" s="11"/>
      <c r="N59" s="11"/>
      <c r="O59" s="11"/>
      <c r="P59" s="10"/>
      <c r="Q59" s="10"/>
      <c r="R59" s="7"/>
      <c r="S59" s="7"/>
      <c r="T59" s="7"/>
    </row>
    <row r="60" spans="1:20" s="9" customFormat="1">
      <c r="A60" s="7"/>
      <c r="B60" s="7"/>
      <c r="C60" s="7"/>
      <c r="D60" s="7"/>
      <c r="E60" s="7"/>
      <c r="F60" s="7"/>
      <c r="G60" s="7"/>
      <c r="K60" s="10"/>
      <c r="L60" s="11"/>
      <c r="M60" s="11"/>
      <c r="N60" s="11"/>
      <c r="O60" s="11"/>
      <c r="P60" s="10"/>
      <c r="Q60" s="10"/>
      <c r="R60" s="7"/>
      <c r="S60" s="7"/>
      <c r="T60" s="7"/>
    </row>
    <row r="61" spans="1:20" s="9" customFormat="1">
      <c r="A61" s="7"/>
      <c r="B61" s="7"/>
      <c r="C61" s="7"/>
      <c r="D61" s="7"/>
      <c r="E61" s="7"/>
      <c r="F61" s="7"/>
      <c r="G61" s="7"/>
      <c r="K61" s="10"/>
      <c r="L61" s="11"/>
      <c r="M61" s="11"/>
      <c r="N61" s="11"/>
      <c r="O61" s="11"/>
      <c r="P61" s="10"/>
      <c r="Q61" s="10"/>
      <c r="R61" s="7"/>
      <c r="S61" s="7"/>
      <c r="T61" s="7"/>
    </row>
  </sheetData>
  <mergeCells count="7">
    <mergeCell ref="K13:O13"/>
    <mergeCell ref="F14:G14"/>
    <mergeCell ref="C4:E4"/>
    <mergeCell ref="C5:E5"/>
    <mergeCell ref="C7:E7"/>
    <mergeCell ref="C10:E10"/>
    <mergeCell ref="C11:E11"/>
  </mergeCells>
  <dataValidations count="1">
    <dataValidation type="list" allowBlank="1" showInputMessage="1" showErrorMessage="1" sqref="B22:B26">
      <formula1>INDIRECT("Table1["&amp;$C$10&amp;"]")</formula1>
    </dataValidation>
  </dataValidations>
  <printOptions horizontalCentered="1" verticalCentered="1"/>
  <pageMargins left="0.19685039370078741" right="0.19685039370078741" top="0.39370078740157483" bottom="0.39370078740157483" header="0.19685039370078741" footer="0.19685039370078741"/>
  <pageSetup paperSize="9" scale="68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 Message" error="Please select only the production line from the dropdown list." promptTitle="Production Line" prompt="From the dropdown list, kinldy select the production line.">
          <x14:formula1>
            <xm:f>LineActivity!$B$2:$B$19</xm:f>
          </x14:formula1>
          <xm:sqref>C10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workbookViewId="0">
      <pane ySplit="1" topLeftCell="A3" activePane="bottomLeft" state="frozen"/>
      <selection pane="bottomLeft" activeCell="F27" sqref="F27"/>
    </sheetView>
  </sheetViews>
  <sheetFormatPr defaultColWidth="8.81640625" defaultRowHeight="12"/>
  <cols>
    <col min="1" max="1" width="9.26953125" style="2" customWidth="1"/>
    <col min="2" max="18" width="16.7265625" style="2" customWidth="1"/>
    <col min="19" max="19" width="19" style="2" bestFit="1" customWidth="1"/>
    <col min="20" max="16384" width="8.81640625" style="2"/>
  </cols>
  <sheetData>
    <row r="1" spans="2:6">
      <c r="B1" s="3" t="s">
        <v>0</v>
      </c>
      <c r="C1" s="3" t="s">
        <v>1</v>
      </c>
      <c r="E1" s="3"/>
      <c r="F1" s="3"/>
    </row>
    <row r="2" spans="2:6">
      <c r="B2" s="2" t="s">
        <v>40</v>
      </c>
      <c r="C2" s="1" t="s">
        <v>21</v>
      </c>
    </row>
    <row r="3" spans="2:6">
      <c r="B3" s="2" t="s">
        <v>41</v>
      </c>
      <c r="C3" s="1" t="s">
        <v>22</v>
      </c>
    </row>
    <row r="4" spans="2:6">
      <c r="B4" s="2" t="s">
        <v>42</v>
      </c>
      <c r="C4" s="1" t="s">
        <v>23</v>
      </c>
    </row>
    <row r="5" spans="2:6">
      <c r="B5" s="2" t="s">
        <v>43</v>
      </c>
      <c r="C5" s="1" t="s">
        <v>24</v>
      </c>
    </row>
    <row r="6" spans="2:6">
      <c r="B6" s="2" t="s">
        <v>44</v>
      </c>
      <c r="C6" s="1" t="s">
        <v>25</v>
      </c>
    </row>
    <row r="7" spans="2:6">
      <c r="B7" s="2" t="s">
        <v>45</v>
      </c>
      <c r="C7" s="1" t="s">
        <v>26</v>
      </c>
    </row>
    <row r="8" spans="2:6">
      <c r="B8" s="2" t="s">
        <v>46</v>
      </c>
      <c r="C8" s="1" t="s">
        <v>27</v>
      </c>
    </row>
    <row r="9" spans="2:6">
      <c r="B9" s="2" t="s">
        <v>47</v>
      </c>
      <c r="C9" s="1" t="s">
        <v>28</v>
      </c>
    </row>
    <row r="10" spans="2:6">
      <c r="B10" s="2" t="s">
        <v>48</v>
      </c>
      <c r="C10" s="1" t="s">
        <v>29</v>
      </c>
    </row>
    <row r="11" spans="2:6">
      <c r="B11" s="2" t="s">
        <v>56</v>
      </c>
      <c r="C11" s="1" t="s">
        <v>19</v>
      </c>
    </row>
    <row r="12" spans="2:6">
      <c r="B12" s="2" t="s">
        <v>49</v>
      </c>
      <c r="C12" s="1" t="s">
        <v>30</v>
      </c>
    </row>
    <row r="13" spans="2:6">
      <c r="B13" s="2" t="s">
        <v>50</v>
      </c>
      <c r="C13" s="1" t="s">
        <v>31</v>
      </c>
    </row>
    <row r="14" spans="2:6">
      <c r="B14" s="2" t="s">
        <v>51</v>
      </c>
      <c r="C14" s="1" t="s">
        <v>32</v>
      </c>
    </row>
    <row r="15" spans="2:6">
      <c r="B15" s="2" t="s">
        <v>52</v>
      </c>
      <c r="C15" s="1" t="s">
        <v>33</v>
      </c>
    </row>
    <row r="16" spans="2:6">
      <c r="B16" s="2" t="s">
        <v>53</v>
      </c>
      <c r="C16" s="1" t="s">
        <v>34</v>
      </c>
    </row>
    <row r="17" spans="1:19">
      <c r="B17" s="2" t="s">
        <v>54</v>
      </c>
      <c r="C17" s="1" t="s">
        <v>35</v>
      </c>
    </row>
    <row r="18" spans="1:19">
      <c r="B18" s="2" t="s">
        <v>55</v>
      </c>
      <c r="C18" s="1" t="s">
        <v>36</v>
      </c>
    </row>
    <row r="19" spans="1:19">
      <c r="B19" s="2" t="s">
        <v>20</v>
      </c>
      <c r="C19" s="1" t="s">
        <v>18</v>
      </c>
    </row>
    <row r="22" spans="1:19">
      <c r="A22" s="4" t="s">
        <v>94</v>
      </c>
      <c r="B22" s="4" t="s">
        <v>40</v>
      </c>
      <c r="C22" s="4" t="s">
        <v>41</v>
      </c>
      <c r="D22" s="4" t="s">
        <v>42</v>
      </c>
      <c r="E22" s="4" t="s">
        <v>43</v>
      </c>
      <c r="F22" s="4" t="s">
        <v>44</v>
      </c>
      <c r="G22" s="4" t="s">
        <v>45</v>
      </c>
      <c r="H22" s="4" t="s">
        <v>46</v>
      </c>
      <c r="I22" s="4" t="s">
        <v>47</v>
      </c>
      <c r="J22" s="4" t="s">
        <v>48</v>
      </c>
      <c r="K22" s="4" t="s">
        <v>56</v>
      </c>
      <c r="L22" s="4" t="s">
        <v>49</v>
      </c>
      <c r="M22" s="4" t="s">
        <v>50</v>
      </c>
      <c r="N22" s="4" t="s">
        <v>51</v>
      </c>
      <c r="O22" s="4" t="s">
        <v>52</v>
      </c>
      <c r="P22" s="4" t="s">
        <v>53</v>
      </c>
      <c r="Q22" s="4" t="s">
        <v>54</v>
      </c>
      <c r="R22" s="4" t="s">
        <v>55</v>
      </c>
      <c r="S22" s="4" t="s">
        <v>20</v>
      </c>
    </row>
    <row r="23" spans="1:19" ht="14.5">
      <c r="A23" s="36" t="s">
        <v>66</v>
      </c>
      <c r="B23" s="37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</row>
    <row r="24" spans="1:19" ht="12.5">
      <c r="A24" s="39">
        <v>1</v>
      </c>
      <c r="B24" s="40" t="s">
        <v>10</v>
      </c>
      <c r="C24" s="41"/>
      <c r="D24" s="41"/>
      <c r="E24" s="41" t="s">
        <v>10</v>
      </c>
      <c r="F24" s="41" t="s">
        <v>10</v>
      </c>
      <c r="G24" s="41" t="s">
        <v>10</v>
      </c>
      <c r="H24" s="41"/>
      <c r="I24" s="41" t="s">
        <v>10</v>
      </c>
      <c r="J24" s="41" t="s">
        <v>10</v>
      </c>
      <c r="K24" s="41"/>
      <c r="L24" s="41" t="s">
        <v>85</v>
      </c>
      <c r="M24" s="41" t="s">
        <v>85</v>
      </c>
      <c r="N24" s="41"/>
      <c r="O24" s="41"/>
      <c r="P24" s="43" t="s">
        <v>10</v>
      </c>
      <c r="Q24" s="43" t="s">
        <v>10</v>
      </c>
      <c r="R24" s="43" t="s">
        <v>10</v>
      </c>
      <c r="S24" s="44" t="s">
        <v>85</v>
      </c>
    </row>
    <row r="25" spans="1:19" ht="12.5">
      <c r="A25" s="42">
        <v>2</v>
      </c>
      <c r="B25" s="43" t="s">
        <v>14</v>
      </c>
      <c r="C25" s="44"/>
      <c r="D25" s="44"/>
      <c r="E25" s="44"/>
      <c r="F25" s="44"/>
      <c r="G25" s="44"/>
      <c r="H25" s="44"/>
      <c r="I25" s="44"/>
      <c r="J25" s="44"/>
      <c r="K25" s="44"/>
      <c r="L25" s="44" t="s">
        <v>39</v>
      </c>
      <c r="M25" s="44" t="s">
        <v>39</v>
      </c>
      <c r="N25" s="44"/>
      <c r="O25" s="44"/>
      <c r="P25" s="43" t="s">
        <v>61</v>
      </c>
      <c r="Q25" s="43" t="s">
        <v>61</v>
      </c>
      <c r="R25" s="49" t="s">
        <v>86</v>
      </c>
      <c r="S25" s="44" t="s">
        <v>87</v>
      </c>
    </row>
    <row r="26" spans="1:19" ht="12.5">
      <c r="A26" s="42">
        <v>3</v>
      </c>
      <c r="B26" s="43" t="s">
        <v>15</v>
      </c>
      <c r="C26" s="44"/>
      <c r="D26" s="44"/>
      <c r="E26" s="44"/>
      <c r="F26" s="44"/>
      <c r="G26" s="44"/>
      <c r="H26" s="44"/>
      <c r="I26" s="44"/>
      <c r="J26" s="44"/>
      <c r="K26" s="44"/>
      <c r="L26" s="41"/>
      <c r="M26" s="41"/>
      <c r="N26" s="44"/>
      <c r="O26" s="44"/>
      <c r="P26" s="43"/>
      <c r="Q26" s="43"/>
      <c r="R26" s="46"/>
      <c r="S26" s="44"/>
    </row>
    <row r="27" spans="1:19" ht="12.5">
      <c r="A27" s="42">
        <v>4</v>
      </c>
      <c r="B27" s="43" t="s">
        <v>37</v>
      </c>
      <c r="C27" s="44"/>
      <c r="D27" s="44"/>
      <c r="E27" s="44"/>
      <c r="F27" s="44"/>
      <c r="G27" s="44"/>
      <c r="H27" s="44"/>
      <c r="I27" s="44"/>
      <c r="J27" s="44"/>
      <c r="K27" s="44"/>
      <c r="L27" s="50"/>
      <c r="M27" s="50"/>
      <c r="N27" s="44"/>
      <c r="O27" s="44"/>
      <c r="P27" s="43"/>
      <c r="Q27" s="43"/>
      <c r="R27" s="43"/>
      <c r="S27" s="44"/>
    </row>
    <row r="28" spans="1:19" ht="14.5">
      <c r="A28" s="36" t="s">
        <v>67</v>
      </c>
      <c r="B28" s="37"/>
      <c r="C28" s="38"/>
      <c r="D28" s="38"/>
      <c r="E28" s="38"/>
      <c r="F28" s="38"/>
      <c r="G28" s="38"/>
      <c r="H28" s="38"/>
      <c r="I28" s="38"/>
      <c r="J28" s="48"/>
      <c r="K28" s="48"/>
      <c r="L28" s="38"/>
      <c r="M28" s="38"/>
      <c r="N28" s="38"/>
      <c r="O28" s="51"/>
      <c r="P28" s="38"/>
      <c r="Q28" s="38"/>
      <c r="R28" s="38"/>
      <c r="S28" s="38"/>
    </row>
    <row r="29" spans="1:19" ht="12.5">
      <c r="A29" s="39">
        <v>5</v>
      </c>
      <c r="B29" s="40" t="s">
        <v>68</v>
      </c>
      <c r="C29" s="41" t="s">
        <v>62</v>
      </c>
      <c r="D29" s="41" t="s">
        <v>16</v>
      </c>
      <c r="E29" s="41" t="s">
        <v>69</v>
      </c>
      <c r="F29" s="41" t="s">
        <v>69</v>
      </c>
      <c r="G29" s="41" t="s">
        <v>69</v>
      </c>
      <c r="H29" s="41" t="s">
        <v>38</v>
      </c>
      <c r="I29" s="46" t="s">
        <v>68</v>
      </c>
      <c r="J29" s="41" t="s">
        <v>82</v>
      </c>
      <c r="K29" s="41"/>
      <c r="L29" s="44" t="s">
        <v>38</v>
      </c>
      <c r="M29" s="44" t="s">
        <v>38</v>
      </c>
      <c r="N29" s="52" t="s">
        <v>68</v>
      </c>
      <c r="O29" s="41" t="s">
        <v>68</v>
      </c>
      <c r="P29" s="53" t="s">
        <v>68</v>
      </c>
      <c r="Q29" s="53" t="s">
        <v>68</v>
      </c>
      <c r="R29" s="43" t="s">
        <v>68</v>
      </c>
      <c r="S29" s="44" t="s">
        <v>88</v>
      </c>
    </row>
    <row r="30" spans="1:19" ht="12.5">
      <c r="A30" s="39">
        <v>6</v>
      </c>
      <c r="B30" s="43" t="s">
        <v>70</v>
      </c>
      <c r="C30" s="44" t="s">
        <v>68</v>
      </c>
      <c r="D30" s="44" t="s">
        <v>17</v>
      </c>
      <c r="E30" s="44" t="s">
        <v>71</v>
      </c>
      <c r="F30" s="44" t="s">
        <v>71</v>
      </c>
      <c r="G30" s="44" t="s">
        <v>71</v>
      </c>
      <c r="H30" s="44" t="s">
        <v>62</v>
      </c>
      <c r="I30" s="46" t="s">
        <v>70</v>
      </c>
      <c r="J30" s="44" t="s">
        <v>83</v>
      </c>
      <c r="K30" s="44"/>
      <c r="L30" s="49"/>
      <c r="M30" s="49"/>
      <c r="N30" s="52" t="s">
        <v>70</v>
      </c>
      <c r="O30" s="44" t="s">
        <v>16</v>
      </c>
      <c r="P30" s="53" t="s">
        <v>70</v>
      </c>
      <c r="Q30" s="53" t="s">
        <v>70</v>
      </c>
      <c r="R30" s="43" t="s">
        <v>70</v>
      </c>
      <c r="S30" s="44" t="s">
        <v>89</v>
      </c>
    </row>
    <row r="31" spans="1:19" ht="12.5">
      <c r="A31" s="39">
        <v>7</v>
      </c>
      <c r="B31" s="43" t="s">
        <v>71</v>
      </c>
      <c r="C31" s="44" t="s">
        <v>16</v>
      </c>
      <c r="D31" s="44" t="s">
        <v>72</v>
      </c>
      <c r="E31" s="44" t="s">
        <v>73</v>
      </c>
      <c r="F31" s="44" t="s">
        <v>73</v>
      </c>
      <c r="G31" s="44" t="s">
        <v>73</v>
      </c>
      <c r="H31" s="44" t="s">
        <v>17</v>
      </c>
      <c r="I31" s="46" t="s">
        <v>71</v>
      </c>
      <c r="J31" s="44" t="s">
        <v>17</v>
      </c>
      <c r="K31" s="44"/>
      <c r="L31" s="44"/>
      <c r="M31" s="44"/>
      <c r="N31" s="52" t="s">
        <v>71</v>
      </c>
      <c r="O31" s="44" t="s">
        <v>76</v>
      </c>
      <c r="P31" s="53" t="s">
        <v>71</v>
      </c>
      <c r="Q31" s="53" t="s">
        <v>71</v>
      </c>
      <c r="R31" s="43" t="s">
        <v>71</v>
      </c>
      <c r="S31" s="44" t="s">
        <v>90</v>
      </c>
    </row>
    <row r="32" spans="1:19" ht="12.5">
      <c r="A32" s="39">
        <v>8</v>
      </c>
      <c r="B32" s="43" t="s">
        <v>74</v>
      </c>
      <c r="C32" s="44" t="s">
        <v>75</v>
      </c>
      <c r="D32" s="44"/>
      <c r="E32" s="44" t="s">
        <v>76</v>
      </c>
      <c r="F32" s="44" t="s">
        <v>76</v>
      </c>
      <c r="G32" s="44" t="s">
        <v>76</v>
      </c>
      <c r="H32" s="49"/>
      <c r="I32" s="46" t="s">
        <v>84</v>
      </c>
      <c r="J32" s="44" t="s">
        <v>72</v>
      </c>
      <c r="K32" s="44"/>
      <c r="L32" s="44"/>
      <c r="M32" s="44"/>
      <c r="N32" s="52" t="s">
        <v>16</v>
      </c>
      <c r="O32" s="44" t="s">
        <v>79</v>
      </c>
      <c r="P32" s="53" t="s">
        <v>74</v>
      </c>
      <c r="Q32" s="53" t="s">
        <v>74</v>
      </c>
      <c r="R32" s="43" t="s">
        <v>16</v>
      </c>
      <c r="S32" s="44"/>
    </row>
    <row r="33" spans="1:19" ht="12.5">
      <c r="A33" s="39">
        <v>9</v>
      </c>
      <c r="B33" s="43" t="s">
        <v>16</v>
      </c>
      <c r="C33" s="44" t="s">
        <v>77</v>
      </c>
      <c r="D33" s="44"/>
      <c r="E33" s="44" t="s">
        <v>16</v>
      </c>
      <c r="F33" s="44" t="s">
        <v>16</v>
      </c>
      <c r="G33" s="44" t="s">
        <v>16</v>
      </c>
      <c r="H33" s="44"/>
      <c r="I33" s="46" t="s">
        <v>16</v>
      </c>
      <c r="J33" s="44"/>
      <c r="K33" s="44"/>
      <c r="L33" s="44"/>
      <c r="M33" s="44"/>
      <c r="N33" s="52" t="s">
        <v>78</v>
      </c>
      <c r="O33" s="44" t="s">
        <v>81</v>
      </c>
      <c r="P33" s="53" t="s">
        <v>16</v>
      </c>
      <c r="Q33" s="53" t="s">
        <v>16</v>
      </c>
      <c r="R33" s="43" t="s">
        <v>78</v>
      </c>
      <c r="S33" s="44"/>
    </row>
    <row r="34" spans="1:19" ht="12.5">
      <c r="A34" s="39">
        <v>10</v>
      </c>
      <c r="B34" s="43" t="s">
        <v>78</v>
      </c>
      <c r="C34" s="44" t="s">
        <v>79</v>
      </c>
      <c r="D34" s="44"/>
      <c r="E34" s="44" t="s">
        <v>79</v>
      </c>
      <c r="F34" s="44" t="s">
        <v>79</v>
      </c>
      <c r="G34" s="44" t="s">
        <v>79</v>
      </c>
      <c r="H34" s="44"/>
      <c r="I34" s="46" t="s">
        <v>78</v>
      </c>
      <c r="J34" s="44"/>
      <c r="K34" s="44"/>
      <c r="L34" s="44"/>
      <c r="M34" s="44"/>
      <c r="N34" s="52" t="s">
        <v>17</v>
      </c>
      <c r="O34" s="44" t="s">
        <v>62</v>
      </c>
      <c r="P34" s="53" t="s">
        <v>78</v>
      </c>
      <c r="Q34" s="53" t="s">
        <v>78</v>
      </c>
      <c r="R34" s="43" t="s">
        <v>81</v>
      </c>
      <c r="S34" s="44"/>
    </row>
    <row r="35" spans="1:19" ht="12.5">
      <c r="A35" s="39">
        <v>11</v>
      </c>
      <c r="B35" s="43" t="s">
        <v>17</v>
      </c>
      <c r="C35" s="44" t="s">
        <v>80</v>
      </c>
      <c r="D35" s="44"/>
      <c r="E35" s="44" t="s">
        <v>81</v>
      </c>
      <c r="F35" s="44" t="s">
        <v>81</v>
      </c>
      <c r="G35" s="44" t="s">
        <v>81</v>
      </c>
      <c r="H35" s="44"/>
      <c r="I35" s="46" t="s">
        <v>17</v>
      </c>
      <c r="J35" s="44"/>
      <c r="K35" s="44"/>
      <c r="L35" s="44"/>
      <c r="M35" s="44"/>
      <c r="N35" s="52"/>
      <c r="O35" s="44" t="s">
        <v>17</v>
      </c>
      <c r="P35" s="53" t="s">
        <v>81</v>
      </c>
      <c r="Q35" s="53" t="s">
        <v>81</v>
      </c>
      <c r="R35" s="43" t="s">
        <v>17</v>
      </c>
      <c r="S35" s="44"/>
    </row>
    <row r="36" spans="1:19" ht="12.5">
      <c r="A36" s="39">
        <v>12</v>
      </c>
      <c r="B36" s="43"/>
      <c r="C36" s="45" t="s">
        <v>17</v>
      </c>
      <c r="D36" s="44"/>
      <c r="E36" s="44" t="s">
        <v>78</v>
      </c>
      <c r="F36" s="44" t="s">
        <v>78</v>
      </c>
      <c r="G36" s="44" t="s">
        <v>78</v>
      </c>
      <c r="H36" s="44"/>
      <c r="I36" s="46"/>
      <c r="J36" s="44"/>
      <c r="K36" s="44"/>
      <c r="L36" s="44"/>
      <c r="M36" s="44"/>
      <c r="N36" s="52"/>
      <c r="O36" s="44" t="s">
        <v>72</v>
      </c>
      <c r="P36" s="53" t="s">
        <v>79</v>
      </c>
      <c r="Q36" s="53" t="s">
        <v>79</v>
      </c>
      <c r="R36" s="43"/>
      <c r="S36" s="44"/>
    </row>
    <row r="37" spans="1:19" ht="12.5">
      <c r="A37" s="39">
        <v>13</v>
      </c>
      <c r="B37" s="46"/>
      <c r="C37" s="41"/>
      <c r="D37" s="47"/>
      <c r="E37" s="44" t="s">
        <v>17</v>
      </c>
      <c r="F37" s="44" t="s">
        <v>17</v>
      </c>
      <c r="G37" s="44" t="s">
        <v>17</v>
      </c>
      <c r="H37" s="44"/>
      <c r="I37" s="46"/>
      <c r="J37" s="44"/>
      <c r="K37" s="44"/>
      <c r="L37" s="44"/>
      <c r="M37" s="44"/>
      <c r="N37" s="52"/>
      <c r="O37" s="44"/>
      <c r="P37" s="53" t="s">
        <v>17</v>
      </c>
      <c r="Q37" s="53" t="s">
        <v>17</v>
      </c>
      <c r="R37" s="43"/>
      <c r="S37" s="44"/>
    </row>
    <row r="38" spans="1:19" ht="12.5">
      <c r="A38" s="39">
        <v>14</v>
      </c>
      <c r="B38" s="54" t="s">
        <v>91</v>
      </c>
      <c r="C38" s="54" t="s">
        <v>91</v>
      </c>
      <c r="D38" s="54" t="s">
        <v>91</v>
      </c>
      <c r="E38" s="54" t="s">
        <v>91</v>
      </c>
      <c r="F38" s="54" t="s">
        <v>91</v>
      </c>
      <c r="G38" s="54" t="s">
        <v>91</v>
      </c>
      <c r="H38" s="54" t="s">
        <v>91</v>
      </c>
      <c r="I38" s="54" t="s">
        <v>91</v>
      </c>
      <c r="J38" s="54" t="s">
        <v>91</v>
      </c>
      <c r="K38" s="54" t="s">
        <v>91</v>
      </c>
      <c r="L38" s="54" t="s">
        <v>91</v>
      </c>
      <c r="M38" s="54" t="s">
        <v>91</v>
      </c>
      <c r="N38" s="54" t="s">
        <v>91</v>
      </c>
      <c r="O38" s="54" t="s">
        <v>91</v>
      </c>
      <c r="P38" s="54" t="s">
        <v>91</v>
      </c>
      <c r="Q38" s="54" t="s">
        <v>91</v>
      </c>
      <c r="R38" s="54" t="s">
        <v>91</v>
      </c>
      <c r="S38" s="54" t="s">
        <v>91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2"/>
  <sheetViews>
    <sheetView showGridLines="0" workbookViewId="0">
      <selection activeCell="B12" sqref="B12"/>
    </sheetView>
  </sheetViews>
  <sheetFormatPr defaultRowHeight="14.5"/>
  <cols>
    <col min="2" max="2" width="85.7265625" customWidth="1"/>
    <col min="4" max="4" width="27.7265625" customWidth="1"/>
  </cols>
  <sheetData>
    <row r="2" spans="2:4" ht="21">
      <c r="B2" s="68" t="s">
        <v>100</v>
      </c>
    </row>
    <row r="4" spans="2:4">
      <c r="B4" s="67" t="s">
        <v>101</v>
      </c>
    </row>
    <row r="6" spans="2:4">
      <c r="B6" s="67" t="s">
        <v>102</v>
      </c>
      <c r="D6" s="69" t="s">
        <v>122</v>
      </c>
    </row>
    <row r="7" spans="2:4">
      <c r="B7" t="s">
        <v>103</v>
      </c>
    </row>
    <row r="8" spans="2:4">
      <c r="B8" s="67" t="s">
        <v>104</v>
      </c>
    </row>
    <row r="10" spans="2:4">
      <c r="B10" s="67" t="s">
        <v>105</v>
      </c>
    </row>
    <row r="11" spans="2:4">
      <c r="B11" t="s">
        <v>106</v>
      </c>
    </row>
    <row r="12" spans="2:4">
      <c r="B12" s="67" t="s">
        <v>107</v>
      </c>
    </row>
    <row r="13" spans="2:4">
      <c r="B13" t="s">
        <v>108</v>
      </c>
    </row>
    <row r="15" spans="2:4">
      <c r="B15" s="67" t="s">
        <v>109</v>
      </c>
    </row>
    <row r="16" spans="2:4">
      <c r="B16" t="s">
        <v>110</v>
      </c>
    </row>
    <row r="17" spans="2:2">
      <c r="B17" t="s">
        <v>111</v>
      </c>
    </row>
    <row r="18" spans="2:2">
      <c r="B18" t="s">
        <v>123</v>
      </c>
    </row>
    <row r="19" spans="2:2">
      <c r="B19" t="s">
        <v>112</v>
      </c>
    </row>
    <row r="20" spans="2:2">
      <c r="B20" t="s">
        <v>113</v>
      </c>
    </row>
    <row r="21" spans="2:2">
      <c r="B21" t="s">
        <v>124</v>
      </c>
    </row>
    <row r="22" spans="2:2">
      <c r="B22" t="s">
        <v>114</v>
      </c>
    </row>
    <row r="23" spans="2:2">
      <c r="B23" t="s">
        <v>125</v>
      </c>
    </row>
    <row r="25" spans="2:2">
      <c r="B25" s="67" t="s">
        <v>115</v>
      </c>
    </row>
    <row r="26" spans="2:2">
      <c r="B26" s="70" t="s">
        <v>116</v>
      </c>
    </row>
    <row r="27" spans="2:2">
      <c r="B27" t="s">
        <v>117</v>
      </c>
    </row>
    <row r="28" spans="2:2">
      <c r="B28" t="s">
        <v>118</v>
      </c>
    </row>
    <row r="30" spans="2:2">
      <c r="B30" s="67" t="s">
        <v>119</v>
      </c>
    </row>
    <row r="31" spans="2:2">
      <c r="B31" t="s">
        <v>120</v>
      </c>
    </row>
    <row r="32" spans="2:2">
      <c r="B32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6" sqref="L16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BM</vt:lpstr>
      <vt:lpstr>FG</vt:lpstr>
      <vt:lpstr>LineActivity</vt:lpstr>
      <vt:lpstr>Instructions</vt:lpstr>
      <vt:lpstr>Sheet1</vt:lpstr>
      <vt:lpstr>BM!Print_Area</vt:lpstr>
      <vt:lpstr>FG!Print_Area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Nhea V. Reyes</dc:creator>
  <cp:lastModifiedBy>Henry S. Momblan</cp:lastModifiedBy>
  <cp:lastPrinted>2023-10-03T04:06:26Z</cp:lastPrinted>
  <dcterms:created xsi:type="dcterms:W3CDTF">2023-05-03T08:00:07Z</dcterms:created>
  <dcterms:modified xsi:type="dcterms:W3CDTF">2026-06-10T08:28:41Z</dcterms:modified>
</cp:coreProperties>
</file>